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industries_top39_stock_cou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<sst xmlns="http://schemas.openxmlformats.org/spreadsheetml/2006/main" count="392" uniqueCount="271">
  <si>
    <t xml:space="preserve">Category</t>
  </si>
  <si>
    <t xml:space="preserve">Industry</t>
  </si>
  <si>
    <t xml:space="preserve">Stock_Count</t>
  </si>
  <si>
    <t xml:space="preserve">Include top</t>
  </si>
  <si>
    <t xml:space="preserve">Top_5_Stocks</t>
  </si>
  <si>
    <t xml:space="preserve">Consumer</t>
  </si>
  <si>
    <t xml:space="preserve">Other Consumer Services</t>
  </si>
  <si>
    <t xml:space="preserve">BKNG, CTAS, TCOM, EXPE, SCI</t>
  </si>
  <si>
    <t xml:space="preserve">Restaurants</t>
  </si>
  <si>
    <t xml:space="preserve">MCD, SBUX, CMG, YUM, QSR</t>
  </si>
  <si>
    <t xml:space="preserve">Specialty Stores</t>
  </si>
  <si>
    <t xml:space="preserve">WMT, COST, ORLY, CVNA, AZO</t>
  </si>
  <si>
    <t xml:space="preserve">Apparel/Footwear Retail</t>
  </si>
  <si>
    <t xml:space="preserve">TJX, ROST, TPR, BURL, GAP</t>
  </si>
  <si>
    <t xml:space="preserve">Hotels/Resorts/Cruise lines</t>
  </si>
  <si>
    <t xml:space="preserve">MAR, RCL, ABNB, HLT, CUK</t>
  </si>
  <si>
    <t xml:space="preserve">Food Retail</t>
  </si>
  <si>
    <t xml:space="preserve">KR, ACI, SFM, TBBB, WMK</t>
  </si>
  <si>
    <t xml:space="preserve">Department Stores</t>
  </si>
  <si>
    <t xml:space="preserve">PDD, DDS, OLLI, M, KSS</t>
  </si>
  <si>
    <t xml:space="preserve">Other Consumer Specialties</t>
  </si>
  <si>
    <t xml:space="preserve">MSA, FWDI, ZEPP, MOV, FOSL</t>
  </si>
  <si>
    <t xml:space="preserve">Consumer Sundries</t>
  </si>
  <si>
    <t xml:space="preserve">CENT, CENTA, DOGZ, FMFC</t>
  </si>
  <si>
    <t xml:space="preserve">Discount Stores</t>
  </si>
  <si>
    <t xml:space="preserve">DG, DLTR, FIVE</t>
  </si>
  <si>
    <t xml:space="preserve">Drugstore Chains</t>
  </si>
  <si>
    <t xml:space="preserve">CVS, GRDN</t>
  </si>
  <si>
    <t xml:space="preserve">Energy</t>
  </si>
  <si>
    <t xml:space="preserve">Integrated Oil</t>
  </si>
  <si>
    <t xml:space="preserve">XOM, CVX, SHEL, TTE, BP</t>
  </si>
  <si>
    <t xml:space="preserve">Oil &amp; Gas Production</t>
  </si>
  <si>
    <t xml:space="preserve">COP, FANG, WDS, AR, RRC</t>
  </si>
  <si>
    <t xml:space="preserve">Oilfield Services/Equipment</t>
  </si>
  <si>
    <t xml:space="preserve">HAL, FTI, NOV, WFRD, AROC</t>
  </si>
  <si>
    <t xml:space="preserve">Oil &amp; Gas Pipelines</t>
  </si>
  <si>
    <t xml:space="preserve">ENB, WMB, EPD, KMI, ET</t>
  </si>
  <si>
    <t xml:space="preserve">Gas Distributors</t>
  </si>
  <si>
    <t xml:space="preserve">SRE, TRGP, ATO, CQP, NI</t>
  </si>
  <si>
    <t xml:space="preserve">Oil Refining/Marketing</t>
  </si>
  <si>
    <t xml:space="preserve">MPC, E, PSX, VLO, DINO</t>
  </si>
  <si>
    <t xml:space="preserve">Coal</t>
  </si>
  <si>
    <t xml:space="preserve">HCC, CNR, BTU, ARLP, AMR</t>
  </si>
  <si>
    <t xml:space="preserve">Financials</t>
  </si>
  <si>
    <t xml:space="preserve">Financial Conglomerates</t>
  </si>
  <si>
    <t xml:space="preserve">RPRX, BMNR, MAIN, KYIV, JCAP</t>
  </si>
  <si>
    <t xml:space="preserve">Investment Banks/Brokers</t>
  </si>
  <si>
    <t xml:space="preserve">GS, SCHW, HOOD, IBKR, CME</t>
  </si>
  <si>
    <t xml:space="preserve">Investment Managers</t>
  </si>
  <si>
    <t xml:space="preserve">MS, BX, BLK, UBS, BN</t>
  </si>
  <si>
    <t xml:space="preserve">Investment Trusts/Mutual Funds</t>
  </si>
  <si>
    <t xml:space="preserve">TPL, VNOM, BXSL, FSK, BSM</t>
  </si>
  <si>
    <t xml:space="preserve">Major Banks</t>
  </si>
  <si>
    <t xml:space="preserve">JPM, BAC, WFC, HSBC, RY</t>
  </si>
  <si>
    <t xml:space="preserve">Multi-Line Insurance</t>
  </si>
  <si>
    <t xml:space="preserve">PGR, MFC, AFL, ALL, MET</t>
  </si>
  <si>
    <t xml:space="preserve">Property/Casualty Insurance</t>
  </si>
  <si>
    <t xml:space="preserve">BRK.A, BRK.B, CB, TRV, HIG</t>
  </si>
  <si>
    <t xml:space="preserve">Real Estate Investment Trusts</t>
  </si>
  <si>
    <t xml:space="preserve">WELL, PLD, AMT, EQIX, SPG</t>
  </si>
  <si>
    <t xml:space="preserve">Regional Banks</t>
  </si>
  <si>
    <t xml:space="preserve">IBN, NU, CM, USB, TFC</t>
  </si>
  <si>
    <t xml:space="preserve">Savings Banks</t>
  </si>
  <si>
    <t xml:space="preserve">WBS, TFSL, WSFS, PFS, NWBI</t>
  </si>
  <si>
    <t xml:space="preserve">Insurance Brokers/Services</t>
  </si>
  <si>
    <t xml:space="preserve">MMC, AON, AJG, WTW, BRO</t>
  </si>
  <si>
    <t xml:space="preserve">Specialty Insurance</t>
  </si>
  <si>
    <t xml:space="preserve">FNF, ORI, FAF, ESNT, RDN</t>
  </si>
  <si>
    <t xml:space="preserve">Financial Publishing/Services</t>
  </si>
  <si>
    <t xml:space="preserve">SPGI, MCO, FICO, EFX, TRU</t>
  </si>
  <si>
    <t xml:space="preserve">Healthcare</t>
  </si>
  <si>
    <t xml:space="preserve">Biotechnology</t>
  </si>
  <si>
    <t xml:space="preserve">AMGN, GILD, ARGX, IQV, NTRA</t>
  </si>
  <si>
    <t xml:space="preserve">Medical Specialties</t>
  </si>
  <si>
    <t xml:space="preserve">ABT, TMO, ISRG, DHR, BSX</t>
  </si>
  <si>
    <t xml:space="preserve">Medical/Nursing Services</t>
  </si>
  <si>
    <t xml:space="preserve">LH, SOLV, GH, FMS, EHC</t>
  </si>
  <si>
    <t xml:space="preserve">Pharmaceuticals/ Major</t>
  </si>
  <si>
    <t xml:space="preserve">LLY, JNJ, ABBV, AZN, MRK</t>
  </si>
  <si>
    <t xml:space="preserve">Pharmaceuticals/ Other</t>
  </si>
  <si>
    <t xml:space="preserve">RVMD, ABVX, CDTX, BRBR, BHC</t>
  </si>
  <si>
    <t xml:space="preserve">Life/Health Insurance</t>
  </si>
  <si>
    <t xml:space="preserve">PRU, CRBG, EQH, RGA, PRI</t>
  </si>
  <si>
    <t xml:space="preserve">Medical Distributors</t>
  </si>
  <si>
    <t xml:space="preserve">MCK, COR, CAH, HSIC, POM</t>
  </si>
  <si>
    <t xml:space="preserve">Managed Health Care</t>
  </si>
  <si>
    <t xml:space="preserve">UNH, ELV, CI, HUM, CNC</t>
  </si>
  <si>
    <t xml:space="preserve">Services to the Health Industry</t>
  </si>
  <si>
    <t xml:space="preserve">DGX, ASTH, NRC, QIPT</t>
  </si>
  <si>
    <t xml:space="preserve">Pharmaceuticals/ Generic</t>
  </si>
  <si>
    <t xml:space="preserve">TEVA</t>
  </si>
  <si>
    <t xml:space="preserve">Industrials</t>
  </si>
  <si>
    <t xml:space="preserve">Industrial Machinery</t>
  </si>
  <si>
    <t xml:space="preserve">AMAT, LRCX, PH, TT, JCI</t>
  </si>
  <si>
    <t xml:space="preserve">Trucks/Construction/Farm Machinery</t>
  </si>
  <si>
    <t xml:space="preserve">CAT, DE, PCAR, WAB, CNH</t>
  </si>
  <si>
    <t xml:space="preserve">Industrial Specialties</t>
  </si>
  <si>
    <t xml:space="preserve">SHW, PPG, RPM, AXTA, CSW</t>
  </si>
  <si>
    <t xml:space="preserve">Miscellaneous Manufacturing</t>
  </si>
  <si>
    <t xml:space="preserve">WMS, AWI, BRC, YETI, LCII</t>
  </si>
  <si>
    <t xml:space="preserve">Industrial Conglomerates</t>
  </si>
  <si>
    <t xml:space="preserve">MMM, RLX, HI, ISPR</t>
  </si>
  <si>
    <t xml:space="preserve">Other</t>
  </si>
  <si>
    <t xml:space="preserve">Aerospace &amp; Defense</t>
  </si>
  <si>
    <t xml:space="preserve">GE, RTX, BA, HON, LMT</t>
  </si>
  <si>
    <t xml:space="preserve">Chemicals/ Specialty</t>
  </si>
  <si>
    <t xml:space="preserve">LIN, ECL, APD, DOW, SQM</t>
  </si>
  <si>
    <t xml:space="preserve">Electric Utilities</t>
  </si>
  <si>
    <t xml:space="preserve">NEE, CEG, SO, DUK, NGG</t>
  </si>
  <si>
    <t xml:space="preserve">Electrical Products</t>
  </si>
  <si>
    <t xml:space="preserve">GEV, ETN, AME, ROK, HUBB</t>
  </si>
  <si>
    <t xml:space="preserve">Engineering &amp; Construction</t>
  </si>
  <si>
    <t xml:space="preserve">PWR, FER, OTIS, FIX, EME</t>
  </si>
  <si>
    <t xml:space="preserve">Finance/Rental/Leasing</t>
  </si>
  <si>
    <t xml:space="preserve">V, MA, AXP, RKT, URI</t>
  </si>
  <si>
    <t xml:space="preserve">Food/ Specialty/Candy</t>
  </si>
  <si>
    <t xml:space="preserve">PEP, MDLZ, HSY, K, MKC</t>
  </si>
  <si>
    <t xml:space="preserve">Marine Shipping</t>
  </si>
  <si>
    <t xml:space="preserve">KEX, FRO, MATX, HAFN, STNG</t>
  </si>
  <si>
    <t xml:space="preserve">Miscellaneous Commercial Services</t>
  </si>
  <si>
    <t xml:space="preserve">SHOP, RELX, PYPL, XYZ, FISV</t>
  </si>
  <si>
    <t xml:space="preserve">Motor Vehicles</t>
  </si>
  <si>
    <t xml:space="preserve">TSLA, TM, RACE, GM, F</t>
  </si>
  <si>
    <t xml:space="preserve">Movies/Entertainment</t>
  </si>
  <si>
    <t xml:space="preserve">DIS, TKO, LYV, DKNG, CHDN</t>
  </si>
  <si>
    <t xml:space="preserve">Other Metals/Minerals</t>
  </si>
  <si>
    <t xml:space="preserve">RIO, SCCO, FCX, CCJ, TECK</t>
  </si>
  <si>
    <t xml:space="preserve">Precious Metals</t>
  </si>
  <si>
    <t xml:space="preserve">NEM, AEM, B, WPM, AU</t>
  </si>
  <si>
    <t xml:space="preserve">Real Estate Development</t>
  </si>
  <si>
    <t xml:space="preserve">CBRE, BEKE, JLL, OPEN, FSV</t>
  </si>
  <si>
    <t xml:space="preserve">Wholesale Distributors</t>
  </si>
  <si>
    <t xml:space="preserve">FERG, FAST, GWW, GPC, WCC</t>
  </si>
  <si>
    <t xml:space="preserve">Advertising/Marketing Services</t>
  </si>
  <si>
    <t xml:space="preserve">OMC, IPG, WPP, WSHP, DJT</t>
  </si>
  <si>
    <t xml:space="preserve">Apparel/Footwear</t>
  </si>
  <si>
    <t xml:space="preserve">NKE, RL, LULU, ONON, DECK</t>
  </si>
  <si>
    <t xml:space="preserve">Auto Parts/ OEM</t>
  </si>
  <si>
    <t xml:space="preserve">ITW, CMI, ITT, MGA, DCI</t>
  </si>
  <si>
    <t xml:space="preserve">Agricultural Commodities/Milling</t>
  </si>
  <si>
    <t xml:space="preserve">CTVA, ADM, BG, PPC, SEB</t>
  </si>
  <si>
    <t xml:space="preserve">Air Freight/Couriers</t>
  </si>
  <si>
    <t xml:space="preserve">DASH, UPS, FDX, GRAB, EXPD</t>
  </si>
  <si>
    <t xml:space="preserve">Recreational Products</t>
  </si>
  <si>
    <t xml:space="preserve">AS, HAS, MAT, THO, GOLF</t>
  </si>
  <si>
    <t xml:space="preserve">Homebuilding</t>
  </si>
  <si>
    <t xml:space="preserve">DHI, LEN, LEN.B, PHM, NVR</t>
  </si>
  <si>
    <t xml:space="preserve">Steel</t>
  </si>
  <si>
    <t xml:space="preserve">BHP, VALE, NUE, MT, STLD</t>
  </si>
  <si>
    <t xml:space="preserve">Airlines</t>
  </si>
  <si>
    <t xml:space="preserve">DAL, RYAAY, UAL, LUV, LTM</t>
  </si>
  <si>
    <t xml:space="preserve">Household/Personal Care</t>
  </si>
  <si>
    <t xml:space="preserve">PG, UL, CL, KMB, EL</t>
  </si>
  <si>
    <t xml:space="preserve">Personnel Services</t>
  </si>
  <si>
    <t xml:space="preserve">KFY, RHI, UPWK, MAN, HSII</t>
  </si>
  <si>
    <t xml:space="preserve">Building Products</t>
  </si>
  <si>
    <t xml:space="preserve">WSO, MAS, CSL, SPXC, AOS</t>
  </si>
  <si>
    <t xml:space="preserve">Wireless Telecommunications</t>
  </si>
  <si>
    <t xml:space="preserve">TMUS, T, VZ, AMX, VOD</t>
  </si>
  <si>
    <t xml:space="preserve">Containers/Packaging</t>
  </si>
  <si>
    <t xml:space="preserve">AMCR, SW, PKG, BALL, CCK</t>
  </si>
  <si>
    <t xml:space="preserve">Trucking</t>
  </si>
  <si>
    <t xml:space="preserve">ODFL, XPO, JBHT, SAIA, KNX</t>
  </si>
  <si>
    <t xml:space="preserve">Home Furnishings</t>
  </si>
  <si>
    <t xml:space="preserve">SGI, LZB, ARHS, MBC, LEG</t>
  </si>
  <si>
    <t xml:space="preserve">Major Telecommunications</t>
  </si>
  <si>
    <t xml:space="preserve">CHT, BCE, FYBR, LUMN, KT</t>
  </si>
  <si>
    <t xml:space="preserve">Metal Fabrication</t>
  </si>
  <si>
    <t xml:space="preserve">RBC, MLI, VMI, USAR, ROCK</t>
  </si>
  <si>
    <t xml:space="preserve">Broadcasting</t>
  </si>
  <si>
    <t xml:space="preserve">FOXA, FOX, SIRI, NXST, TGNA</t>
  </si>
  <si>
    <t xml:space="preserve">Other Transportation</t>
  </si>
  <si>
    <t xml:space="preserve">UBER, PFGC, PAC, ASR, SARO</t>
  </si>
  <si>
    <t xml:space="preserve">Chemicals/ Agricultural</t>
  </si>
  <si>
    <t xml:space="preserve">NTR, CF, MOS, ICL, SMG</t>
  </si>
  <si>
    <t xml:space="preserve">Construction Materials</t>
  </si>
  <si>
    <t xml:space="preserve">CRH, VMC, MLM, AMRZ, CX</t>
  </si>
  <si>
    <t xml:space="preserve">Environmental Services</t>
  </si>
  <si>
    <t xml:space="preserve">WM, RSG, WCN, GFL, CLH</t>
  </si>
  <si>
    <t xml:space="preserve">Beverages/ Alcoholic</t>
  </si>
  <si>
    <t xml:space="preserve">BUD, DEO, ABEV, STZ, BF.B</t>
  </si>
  <si>
    <t xml:space="preserve">Beverages/ Non-Alcoholic</t>
  </si>
  <si>
    <t xml:space="preserve">KO, MNST, CCEP, KDP, FMX</t>
  </si>
  <si>
    <t xml:space="preserve">Casinos/Gaming</t>
  </si>
  <si>
    <t xml:space="preserve">LVS, FLUT, WYNN, MGM, BYD</t>
  </si>
  <si>
    <t xml:space="preserve">Commercial Printing/Forms</t>
  </si>
  <si>
    <t xml:space="preserve">WMG, BZ, CMPO, CMPR, DLX</t>
  </si>
  <si>
    <t xml:space="preserve">Hospital/Nursing Management</t>
  </si>
  <si>
    <t xml:space="preserve">HCA, THC, UHS, CHE, PACS</t>
  </si>
  <si>
    <t xml:space="preserve">Water Utilities</t>
  </si>
  <si>
    <t xml:space="preserve">AWK, SBS, WTRG, AWR, CWT</t>
  </si>
  <si>
    <t xml:space="preserve">Chemicals/ Major Diversified</t>
  </si>
  <si>
    <t xml:space="preserve">DD, ESI, SSL, PRM, AVNT</t>
  </si>
  <si>
    <t xml:space="preserve">Food Distributors</t>
  </si>
  <si>
    <t xml:space="preserve">SYY, USFD, CHEF, UNFI, DOLE</t>
  </si>
  <si>
    <t xml:space="preserve">Food/ Major Diversified</t>
  </si>
  <si>
    <t xml:space="preserve">KHC, GIS, CAG, CHA, SMPL</t>
  </si>
  <si>
    <t xml:space="preserve">Contract Drilling</t>
  </si>
  <si>
    <t xml:space="preserve">SLB, BKR, NE, RIG, VAL</t>
  </si>
  <si>
    <t xml:space="preserve">Alternative Power Generation</t>
  </si>
  <si>
    <t xml:space="preserve">TLN, BIP, CWEN.A, CWEN, ENLT</t>
  </si>
  <si>
    <t xml:space="preserve">Specialty Telecommunications</t>
  </si>
  <si>
    <t xml:space="preserve">TEF, SATS, ASTS, PHI, IRDM</t>
  </si>
  <si>
    <t xml:space="preserve">Food/ Meat/Fish/Dairy</t>
  </si>
  <si>
    <t xml:space="preserve">TSN, JBS, HRL, SFD, MAMA</t>
  </si>
  <si>
    <t xml:space="preserve">Miscellaneous</t>
  </si>
  <si>
    <t xml:space="preserve">LMB, PANL, INV, ALPS, YOUL</t>
  </si>
  <si>
    <t xml:space="preserve">Home Improvement Chains</t>
  </si>
  <si>
    <t xml:space="preserve">HD, LOW, BLDR, FND, ZKH</t>
  </si>
  <si>
    <t xml:space="preserve">Publishing/ Newspapers</t>
  </si>
  <si>
    <t xml:space="preserve">NWS, NWSA, NYT, TDAY, DJCO</t>
  </si>
  <si>
    <t xml:space="preserve">Cable/Satellite TV</t>
  </si>
  <si>
    <t xml:space="preserve">CMCSA, WBD, CHTR, PSKY, CABO</t>
  </si>
  <si>
    <t xml:space="preserve">Forest Products</t>
  </si>
  <si>
    <t xml:space="preserve">LPX, UFPI, WFG, TREX, JELD</t>
  </si>
  <si>
    <t xml:space="preserve">Publishing/ Books/Magazines</t>
  </si>
  <si>
    <t xml:space="preserve">PSO, WLY, WLYB, SCHL, VALU</t>
  </si>
  <si>
    <t xml:space="preserve">Pulp &amp; Paper</t>
  </si>
  <si>
    <t xml:space="preserve">IP, AVY, SUZ, SLVM, CLW</t>
  </si>
  <si>
    <t xml:space="preserve">Railroads</t>
  </si>
  <si>
    <t xml:space="preserve">UNP, NSC, CSX, CP, CNI</t>
  </si>
  <si>
    <t xml:space="preserve">Textiles</t>
  </si>
  <si>
    <t xml:space="preserve">AIN, MAGN, MAMK, UFI, CULP</t>
  </si>
  <si>
    <t xml:space="preserve">Aluminum</t>
  </si>
  <si>
    <t xml:space="preserve">AA, CENX, CSTM, KALU, TG</t>
  </si>
  <si>
    <t xml:space="preserve">Automotive Aftermarket</t>
  </si>
  <si>
    <t xml:space="preserve">LKQ, DORM, GT, XPEL, SMP</t>
  </si>
  <si>
    <t xml:space="preserve">Office Equipment/Supplies</t>
  </si>
  <si>
    <t xml:space="preserve">HNI, SCS, MLKN, ACCO, VIRC</t>
  </si>
  <si>
    <t xml:space="preserve">Tools &amp; Hardware</t>
  </si>
  <si>
    <t xml:space="preserve">SNA, ALLE, SWK, EML, ILAG</t>
  </si>
  <si>
    <t xml:space="preserve">Tobacco</t>
  </si>
  <si>
    <t xml:space="preserve">PM, BTI, MO, TPB</t>
  </si>
  <si>
    <t xml:space="preserve">Media Conglomerates</t>
  </si>
  <si>
    <t xml:space="preserve">SPHR, THH, FTRK</t>
  </si>
  <si>
    <t xml:space="preserve">Catalog/Specialty Distribution</t>
  </si>
  <si>
    <t xml:space="preserve">YJ</t>
  </si>
  <si>
    <t xml:space="preserve">Technology - Hardware/Electronics</t>
  </si>
  <si>
    <t xml:space="preserve">Electronic Equipment/Instruments</t>
  </si>
  <si>
    <t xml:space="preserve">EMR, KEYS, FTV, Q, NXT</t>
  </si>
  <si>
    <t xml:space="preserve">Semiconductors</t>
  </si>
  <si>
    <t xml:space="preserve">NVDA, AVGO, TSM, ASML, AMD</t>
  </si>
  <si>
    <t xml:space="preserve">Telecommunications Equipment</t>
  </si>
  <si>
    <t xml:space="preserve">AAPL, CSCO, MSI, GRMN, UI</t>
  </si>
  <si>
    <t xml:space="preserve">Electronic Production Equipment</t>
  </si>
  <si>
    <t xml:space="preserve">VRT, TER, BE, FLEX, SANM</t>
  </si>
  <si>
    <t xml:space="preserve">Electronic Components</t>
  </si>
  <si>
    <t xml:space="preserve">APH, GLW, CLS, NVT, TTMI</t>
  </si>
  <si>
    <t xml:space="preserve">Electronics/Appliances</t>
  </si>
  <si>
    <t xml:space="preserve">SN, WHR, SONO, IMAX, SPB</t>
  </si>
  <si>
    <t xml:space="preserve">Computer Peripherals</t>
  </si>
  <si>
    <t xml:space="preserve">ANET, STX, WDC, SNDK, PSTG</t>
  </si>
  <si>
    <t xml:space="preserve">Computer Communications</t>
  </si>
  <si>
    <t xml:space="preserve">RDWR, ALLT, SMRT, GNSS, SILC</t>
  </si>
  <si>
    <t xml:space="preserve">Computer Processing Hardware</t>
  </si>
  <si>
    <t xml:space="preserve">SONY, DELL, HPE, SMCI, IONQ</t>
  </si>
  <si>
    <t xml:space="preserve">Electronics Distributors</t>
  </si>
  <si>
    <t xml:space="preserve">SNX, ARW, REZI, AVT, SCSC</t>
  </si>
  <si>
    <t xml:space="preserve">Electronics/Appliance Stores</t>
  </si>
  <si>
    <t xml:space="preserve">BBY, GME, PLBL, RERE</t>
  </si>
  <si>
    <t xml:space="preserve">Technology - Software/Services</t>
  </si>
  <si>
    <t xml:space="preserve">Data Processing Services</t>
  </si>
  <si>
    <t xml:space="preserve">MSCI, PAYX, VRSK, TYL, GDDY</t>
  </si>
  <si>
    <t xml:space="preserve">Information Technology Services</t>
  </si>
  <si>
    <t xml:space="preserve">IBM, ACN, INFY, NET, FTNT</t>
  </si>
  <si>
    <t xml:space="preserve">Internet Software/Services</t>
  </si>
  <si>
    <t xml:space="preserve">GOOGL, GOOG, META, NFLX, SPOT</t>
  </si>
  <si>
    <t xml:space="preserve">Packaged Software</t>
  </si>
  <si>
    <t xml:space="preserve">MSFT, ORCL, PLTR, SAP, CRM</t>
  </si>
  <si>
    <t xml:space="preserve">Internet Retail</t>
  </si>
  <si>
    <t xml:space="preserve">AMZN, BABA, MELI, SE, CPNG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</si>
</sst>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2" activeCellId="0" sqref="G1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67"/>
    <col collapsed="false" customWidth="true" hidden="false" outlineLevel="0" max="2" min="2" style="0" width="31.48"/>
    <col collapsed="false" customWidth="true" hidden="false" outlineLevel="0" max="3" min="3" style="0" width="12"/>
    <col collapsed="false" customWidth="true" hidden="false" outlineLevel="0" max="5" min="4" style="0" width="32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39</v>
      </c>
      <c r="D2" s="0" t="n">
        <f aca="false">MIN(39, MAX(MIN(5, C2), ROUNDUP(C2*0.6, 0)))</f>
        <v>24</v>
      </c>
      <c r="E2" s="0" t="s">
        <v>7</v>
      </c>
    </row>
    <row r="3" customFormat="false" ht="12.8" hidden="false" customHeight="false" outlineLevel="0" collapsed="false">
      <c r="A3" s="0" t="s">
        <v>5</v>
      </c>
      <c r="B3" s="0" t="s">
        <v>8</v>
      </c>
      <c r="C3" s="0" t="n">
        <v>39</v>
      </c>
      <c r="D3" s="0" t="n">
        <f aca="false">MIN(39, MAX(MIN(5, C3), ROUNDUP(C3*0.6, 0)))</f>
        <v>24</v>
      </c>
      <c r="E3" s="0" t="s">
        <v>9</v>
      </c>
    </row>
    <row r="4" customFormat="false" ht="12.8" hidden="false" customHeight="false" outlineLevel="0" collapsed="false">
      <c r="A4" s="0" t="s">
        <v>5</v>
      </c>
      <c r="B4" s="0" t="s">
        <v>10</v>
      </c>
      <c r="C4" s="0" t="n">
        <v>39</v>
      </c>
      <c r="D4" s="0" t="n">
        <f aca="false">MIN(39, MAX(MIN(5, C4), ROUNDUP(C4*0.6, 0)))</f>
        <v>24</v>
      </c>
      <c r="E4" s="0" t="s">
        <v>11</v>
      </c>
    </row>
    <row r="5" customFormat="false" ht="12.8" hidden="false" customHeight="false" outlineLevel="0" collapsed="false">
      <c r="A5" s="0" t="s">
        <v>5</v>
      </c>
      <c r="B5" s="0" t="s">
        <v>12</v>
      </c>
      <c r="C5" s="0" t="n">
        <v>33</v>
      </c>
      <c r="D5" s="0" t="n">
        <f aca="false">MIN(39, MAX(MIN(5, C5), ROUNDUP(C5*0.6, 0)))</f>
        <v>20</v>
      </c>
      <c r="E5" s="0" t="s">
        <v>13</v>
      </c>
    </row>
    <row r="6" customFormat="false" ht="12.8" hidden="false" customHeight="false" outlineLevel="0" collapsed="false">
      <c r="A6" s="0" t="s">
        <v>5</v>
      </c>
      <c r="B6" s="0" t="s">
        <v>14</v>
      </c>
      <c r="C6" s="0" t="n">
        <v>25</v>
      </c>
      <c r="D6" s="0" t="n">
        <f aca="false">MIN(39, MAX(MIN(5, C6), ROUNDUP(C6*0.6, 0)))</f>
        <v>15</v>
      </c>
      <c r="E6" s="0" t="s">
        <v>15</v>
      </c>
    </row>
    <row r="7" customFormat="false" ht="12.8" hidden="false" customHeight="false" outlineLevel="0" collapsed="false">
      <c r="A7" s="0" t="s">
        <v>5</v>
      </c>
      <c r="B7" s="0" t="s">
        <v>16</v>
      </c>
      <c r="C7" s="0" t="n">
        <v>14</v>
      </c>
      <c r="D7" s="0" t="n">
        <f aca="false">MIN(39, MAX(MIN(5, C7), ROUNDUP(C7*0.6, 0)))</f>
        <v>9</v>
      </c>
      <c r="E7" s="0" t="s">
        <v>17</v>
      </c>
    </row>
    <row r="8" customFormat="false" ht="12.8" hidden="false" customHeight="false" outlineLevel="0" collapsed="false">
      <c r="A8" s="0" t="s">
        <v>5</v>
      </c>
      <c r="B8" s="0" t="s">
        <v>18</v>
      </c>
      <c r="C8" s="0" t="n">
        <v>6</v>
      </c>
      <c r="D8" s="0" t="n">
        <f aca="false">MIN(39, MAX(MIN(5, C8), ROUNDUP(C8*0.6, 0)))</f>
        <v>5</v>
      </c>
      <c r="E8" s="0" t="s">
        <v>19</v>
      </c>
    </row>
    <row r="9" customFormat="false" ht="12.8" hidden="false" customHeight="false" outlineLevel="0" collapsed="false">
      <c r="A9" s="0" t="s">
        <v>5</v>
      </c>
      <c r="B9" s="0" t="s">
        <v>20</v>
      </c>
      <c r="C9" s="0" t="n">
        <v>5</v>
      </c>
      <c r="D9" s="0" t="n">
        <f aca="false">MIN(39, MAX(MIN(5, C9), ROUNDUP(C9*0.6, 0)))</f>
        <v>5</v>
      </c>
      <c r="E9" s="0" t="s">
        <v>21</v>
      </c>
    </row>
    <row r="10" customFormat="false" ht="12.8" hidden="false" customHeight="false" outlineLevel="0" collapsed="false">
      <c r="A10" s="0" t="s">
        <v>5</v>
      </c>
      <c r="B10" s="0" t="s">
        <v>22</v>
      </c>
      <c r="C10" s="0" t="n">
        <v>4</v>
      </c>
      <c r="D10" s="0" t="n">
        <f aca="false">MIN(39, MAX(MIN(5, C10), ROUNDUP(C10*0.6, 0)))</f>
        <v>4</v>
      </c>
      <c r="E10" s="0" t="s">
        <v>23</v>
      </c>
    </row>
    <row r="11" customFormat="false" ht="12.8" hidden="false" customHeight="false" outlineLevel="0" collapsed="false">
      <c r="A11" s="0" t="s">
        <v>5</v>
      </c>
      <c r="B11" s="0" t="s">
        <v>24</v>
      </c>
      <c r="C11" s="0" t="n">
        <v>3</v>
      </c>
      <c r="D11" s="0" t="n">
        <f aca="false">MIN(39, MAX(MIN(5, C11), ROUNDUP(C11*0.6, 0)))</f>
        <v>3</v>
      </c>
      <c r="E11" s="0" t="s">
        <v>25</v>
      </c>
    </row>
    <row r="12" customFormat="false" ht="12.8" hidden="false" customHeight="false" outlineLevel="0" collapsed="false">
      <c r="A12" s="0" t="s">
        <v>5</v>
      </c>
      <c r="B12" s="0" t="s">
        <v>26</v>
      </c>
      <c r="C12" s="0" t="n">
        <v>2</v>
      </c>
      <c r="D12" s="0" t="n">
        <f aca="false">MIN(39, MAX(MIN(5, C12), ROUNDUP(C12*0.6, 0)))</f>
        <v>2</v>
      </c>
      <c r="E12" s="0" t="s">
        <v>27</v>
      </c>
    </row>
    <row r="13" customFormat="false" ht="12.8" hidden="false" customHeight="false" outlineLevel="0" collapsed="false">
      <c r="A13" s="0" t="s">
        <v>28</v>
      </c>
      <c r="B13" s="0" t="s">
        <v>29</v>
      </c>
      <c r="C13" s="0" t="n">
        <v>39</v>
      </c>
      <c r="D13" s="0" t="n">
        <f aca="false">MIN(39, MAX(MIN(5, C13), ROUNDUP(C13*0.6, 0)))</f>
        <v>24</v>
      </c>
      <c r="E13" s="0" t="s">
        <v>30</v>
      </c>
    </row>
    <row r="14" customFormat="false" ht="12.8" hidden="false" customHeight="false" outlineLevel="0" collapsed="false">
      <c r="A14" s="0" t="s">
        <v>28</v>
      </c>
      <c r="B14" s="0" t="s">
        <v>31</v>
      </c>
      <c r="C14" s="0" t="n">
        <v>39</v>
      </c>
      <c r="D14" s="0" t="n">
        <f aca="false">MIN(39, MAX(MIN(5, C14), ROUNDUP(C14*0.6, 0)))</f>
        <v>24</v>
      </c>
      <c r="E14" s="0" t="s">
        <v>32</v>
      </c>
    </row>
    <row r="15" customFormat="false" ht="12.8" hidden="false" customHeight="false" outlineLevel="0" collapsed="false">
      <c r="A15" s="0" t="s">
        <v>28</v>
      </c>
      <c r="B15" s="0" t="s">
        <v>33</v>
      </c>
      <c r="C15" s="0" t="n">
        <v>31</v>
      </c>
      <c r="D15" s="0" t="n">
        <f aca="false">MIN(39, MAX(MIN(5, C15), ROUNDUP(C15*0.6, 0)))</f>
        <v>19</v>
      </c>
      <c r="E15" s="0" t="s">
        <v>34</v>
      </c>
    </row>
    <row r="16" customFormat="false" ht="12.8" hidden="false" customHeight="false" outlineLevel="0" collapsed="false">
      <c r="A16" s="0" t="s">
        <v>28</v>
      </c>
      <c r="B16" s="0" t="s">
        <v>35</v>
      </c>
      <c r="C16" s="0" t="n">
        <v>26</v>
      </c>
      <c r="D16" s="0" t="n">
        <f aca="false">MIN(39, MAX(MIN(5, C16), ROUNDUP(C16*0.6, 0)))</f>
        <v>16</v>
      </c>
      <c r="E16" s="0" t="s">
        <v>36</v>
      </c>
    </row>
    <row r="17" customFormat="false" ht="12.8" hidden="false" customHeight="false" outlineLevel="0" collapsed="false">
      <c r="A17" s="0" t="s">
        <v>28</v>
      </c>
      <c r="B17" s="0" t="s">
        <v>37</v>
      </c>
      <c r="C17" s="0" t="n">
        <v>21</v>
      </c>
      <c r="D17" s="0" t="n">
        <f aca="false">MIN(39, MAX(MIN(5, C17), ROUNDUP(C17*0.6, 0)))</f>
        <v>13</v>
      </c>
      <c r="E17" s="0" t="s">
        <v>38</v>
      </c>
    </row>
    <row r="18" customFormat="false" ht="12.8" hidden="false" customHeight="false" outlineLevel="0" collapsed="false">
      <c r="A18" s="0" t="s">
        <v>28</v>
      </c>
      <c r="B18" s="0" t="s">
        <v>39</v>
      </c>
      <c r="C18" s="0" t="n">
        <v>12</v>
      </c>
      <c r="D18" s="0" t="n">
        <f aca="false">MIN(39, MAX(MIN(5, C18), ROUNDUP(C18*0.6, 0)))</f>
        <v>8</v>
      </c>
      <c r="E18" s="0" t="s">
        <v>40</v>
      </c>
    </row>
    <row r="19" customFormat="false" ht="12.8" hidden="false" customHeight="false" outlineLevel="0" collapsed="false">
      <c r="A19" s="0" t="s">
        <v>28</v>
      </c>
      <c r="B19" s="0" t="s">
        <v>41</v>
      </c>
      <c r="C19" s="0" t="n">
        <v>11</v>
      </c>
      <c r="D19" s="0" t="n">
        <f aca="false">MIN(39, MAX(MIN(5, C19), ROUNDUP(C19*0.6, 0)))</f>
        <v>7</v>
      </c>
      <c r="E19" s="0" t="s">
        <v>42</v>
      </c>
    </row>
    <row r="20" customFormat="false" ht="12.8" hidden="false" customHeight="false" outlineLevel="0" collapsed="false">
      <c r="A20" s="0" t="s">
        <v>43</v>
      </c>
      <c r="B20" s="0" t="s">
        <v>44</v>
      </c>
      <c r="C20" s="0" t="n">
        <v>39</v>
      </c>
      <c r="D20" s="0" t="n">
        <f aca="false">MIN(39, MAX(MIN(5, C20), ROUNDUP(C20*0.6, 0)))</f>
        <v>24</v>
      </c>
      <c r="E20" s="0" t="s">
        <v>45</v>
      </c>
    </row>
    <row r="21" customFormat="false" ht="12.8" hidden="false" customHeight="false" outlineLevel="0" collapsed="false">
      <c r="A21" s="0" t="s">
        <v>43</v>
      </c>
      <c r="B21" s="0" t="s">
        <v>46</v>
      </c>
      <c r="C21" s="0" t="n">
        <v>39</v>
      </c>
      <c r="D21" s="0" t="n">
        <f aca="false">MIN(39, MAX(MIN(5, C21), ROUNDUP(C21*0.6, 0)))</f>
        <v>24</v>
      </c>
      <c r="E21" s="0" t="s">
        <v>47</v>
      </c>
    </row>
    <row r="22" customFormat="false" ht="12.8" hidden="false" customHeight="false" outlineLevel="0" collapsed="false">
      <c r="A22" s="0" t="s">
        <v>43</v>
      </c>
      <c r="B22" s="0" t="s">
        <v>48</v>
      </c>
      <c r="C22" s="0" t="n">
        <v>39</v>
      </c>
      <c r="D22" s="0" t="n">
        <f aca="false">MIN(39, MAX(MIN(5, C22), ROUNDUP(C22*0.6, 0)))</f>
        <v>24</v>
      </c>
      <c r="E22" s="0" t="s">
        <v>49</v>
      </c>
    </row>
    <row r="23" customFormat="false" ht="12.8" hidden="false" customHeight="false" outlineLevel="0" collapsed="false">
      <c r="A23" s="0" t="s">
        <v>43</v>
      </c>
      <c r="B23" s="0" t="s">
        <v>50</v>
      </c>
      <c r="C23" s="0" t="n">
        <v>39</v>
      </c>
      <c r="D23" s="0" t="n">
        <f aca="false">MIN(39, MAX(MIN(5, C23), ROUNDUP(C23*0.6, 0)))</f>
        <v>24</v>
      </c>
      <c r="E23" s="0" t="s">
        <v>51</v>
      </c>
    </row>
    <row r="24" customFormat="false" ht="12.8" hidden="false" customHeight="false" outlineLevel="0" collapsed="false">
      <c r="A24" s="0" t="s">
        <v>43</v>
      </c>
      <c r="B24" s="0" t="s">
        <v>52</v>
      </c>
      <c r="C24" s="0" t="n">
        <v>39</v>
      </c>
      <c r="D24" s="0" t="n">
        <f aca="false">MIN(39, MAX(MIN(5, C24), ROUNDUP(C24*0.6, 0)))</f>
        <v>24</v>
      </c>
      <c r="E24" s="0" t="s">
        <v>53</v>
      </c>
    </row>
    <row r="25" customFormat="false" ht="12.8" hidden="false" customHeight="false" outlineLevel="0" collapsed="false">
      <c r="A25" s="0" t="s">
        <v>43</v>
      </c>
      <c r="B25" s="0" t="s">
        <v>54</v>
      </c>
      <c r="C25" s="0" t="n">
        <v>39</v>
      </c>
      <c r="D25" s="0" t="n">
        <f aca="false">MIN(39, MAX(MIN(5, C25), ROUNDUP(C25*0.6, 0)))</f>
        <v>24</v>
      </c>
      <c r="E25" s="0" t="s">
        <v>55</v>
      </c>
    </row>
    <row r="26" customFormat="false" ht="12.8" hidden="false" customHeight="false" outlineLevel="0" collapsed="false">
      <c r="A26" s="0" t="s">
        <v>43</v>
      </c>
      <c r="B26" s="0" t="s">
        <v>56</v>
      </c>
      <c r="C26" s="0" t="n">
        <v>39</v>
      </c>
      <c r="D26" s="0" t="n">
        <f aca="false">MIN(39, MAX(MIN(5, C26), ROUNDUP(C26*0.6, 0)))</f>
        <v>24</v>
      </c>
      <c r="E26" s="0" t="s">
        <v>57</v>
      </c>
    </row>
    <row r="27" customFormat="false" ht="12.8" hidden="false" customHeight="false" outlineLevel="0" collapsed="false">
      <c r="A27" s="0" t="s">
        <v>43</v>
      </c>
      <c r="B27" s="0" t="s">
        <v>58</v>
      </c>
      <c r="C27" s="0" t="n">
        <v>39</v>
      </c>
      <c r="D27" s="0" t="n">
        <f aca="false">MIN(39, MAX(MIN(5, C27), ROUNDUP(C27*0.6, 0)))</f>
        <v>24</v>
      </c>
      <c r="E27" s="0" t="s">
        <v>59</v>
      </c>
    </row>
    <row r="28" customFormat="false" ht="12.8" hidden="false" customHeight="false" outlineLevel="0" collapsed="false">
      <c r="A28" s="0" t="s">
        <v>43</v>
      </c>
      <c r="B28" s="0" t="s">
        <v>60</v>
      </c>
      <c r="C28" s="0" t="n">
        <v>39</v>
      </c>
      <c r="D28" s="0" t="n">
        <f aca="false">MIN(39, MAX(MIN(5, C28), ROUNDUP(C28*0.6, 0)))</f>
        <v>24</v>
      </c>
      <c r="E28" s="0" t="s">
        <v>61</v>
      </c>
    </row>
    <row r="29" customFormat="false" ht="12.8" hidden="false" customHeight="false" outlineLevel="0" collapsed="false">
      <c r="A29" s="0" t="s">
        <v>43</v>
      </c>
      <c r="B29" s="0" t="s">
        <v>62</v>
      </c>
      <c r="C29" s="0" t="n">
        <v>39</v>
      </c>
      <c r="D29" s="0" t="n">
        <f aca="false">MIN(39, MAX(MIN(5, C29), ROUNDUP(C29*0.6, 0)))</f>
        <v>24</v>
      </c>
      <c r="E29" s="0" t="s">
        <v>63</v>
      </c>
    </row>
    <row r="30" customFormat="false" ht="12.8" hidden="false" customHeight="false" outlineLevel="0" collapsed="false">
      <c r="A30" s="0" t="s">
        <v>43</v>
      </c>
      <c r="B30" s="0" t="s">
        <v>64</v>
      </c>
      <c r="C30" s="0" t="n">
        <v>20</v>
      </c>
      <c r="D30" s="0" t="n">
        <f aca="false">MIN(39, MAX(MIN(5, C30), ROUNDUP(C30*0.6, 0)))</f>
        <v>12</v>
      </c>
      <c r="E30" s="0" t="s">
        <v>65</v>
      </c>
    </row>
    <row r="31" customFormat="false" ht="12.8" hidden="false" customHeight="false" outlineLevel="0" collapsed="false">
      <c r="A31" s="0" t="s">
        <v>43</v>
      </c>
      <c r="B31" s="0" t="s">
        <v>66</v>
      </c>
      <c r="C31" s="0" t="n">
        <v>12</v>
      </c>
      <c r="D31" s="0" t="n">
        <f aca="false">MIN(39, MAX(MIN(5, C31), ROUNDUP(C31*0.6, 0)))</f>
        <v>8</v>
      </c>
      <c r="E31" s="0" t="s">
        <v>67</v>
      </c>
    </row>
    <row r="32" customFormat="false" ht="12.8" hidden="false" customHeight="false" outlineLevel="0" collapsed="false">
      <c r="A32" s="0" t="s">
        <v>43</v>
      </c>
      <c r="B32" s="0" t="s">
        <v>68</v>
      </c>
      <c r="C32" s="0" t="n">
        <v>5</v>
      </c>
      <c r="D32" s="0" t="n">
        <f aca="false">MIN(39, MAX(MIN(5, C32), ROUNDUP(C32*0.6, 0)))</f>
        <v>5</v>
      </c>
      <c r="E32" s="0" t="s">
        <v>69</v>
      </c>
    </row>
    <row r="33" customFormat="false" ht="12.8" hidden="false" customHeight="false" outlineLevel="0" collapsed="false">
      <c r="A33" s="0" t="s">
        <v>70</v>
      </c>
      <c r="B33" s="0" t="s">
        <v>71</v>
      </c>
      <c r="C33" s="0" t="n">
        <v>39</v>
      </c>
      <c r="D33" s="0" t="n">
        <f aca="false">MIN(39, MAX(MIN(5, C33), ROUNDUP(C33*0.6, 0)))</f>
        <v>24</v>
      </c>
      <c r="E33" s="0" t="s">
        <v>72</v>
      </c>
    </row>
    <row r="34" customFormat="false" ht="12.8" hidden="false" customHeight="false" outlineLevel="0" collapsed="false">
      <c r="A34" s="0" t="s">
        <v>70</v>
      </c>
      <c r="B34" s="0" t="s">
        <v>73</v>
      </c>
      <c r="C34" s="0" t="n">
        <v>39</v>
      </c>
      <c r="D34" s="0" t="n">
        <f aca="false">MIN(39, MAX(MIN(5, C34), ROUNDUP(C34*0.6, 0)))</f>
        <v>24</v>
      </c>
      <c r="E34" s="0" t="s">
        <v>74</v>
      </c>
    </row>
    <row r="35" customFormat="false" ht="12.8" hidden="false" customHeight="false" outlineLevel="0" collapsed="false">
      <c r="A35" s="0" t="s">
        <v>70</v>
      </c>
      <c r="B35" s="0" t="s">
        <v>75</v>
      </c>
      <c r="C35" s="0" t="n">
        <v>39</v>
      </c>
      <c r="D35" s="0" t="n">
        <f aca="false">MIN(39, MAX(MIN(5, C35), ROUNDUP(C35*0.6, 0)))</f>
        <v>24</v>
      </c>
      <c r="E35" s="0" t="s">
        <v>76</v>
      </c>
    </row>
    <row r="36" customFormat="false" ht="12.8" hidden="false" customHeight="false" outlineLevel="0" collapsed="false">
      <c r="A36" s="0" t="s">
        <v>70</v>
      </c>
      <c r="B36" s="0" t="s">
        <v>77</v>
      </c>
      <c r="C36" s="0" t="n">
        <v>39</v>
      </c>
      <c r="D36" s="0" t="n">
        <f aca="false">MIN(39, MAX(MIN(5, C36), ROUNDUP(C36*0.6, 0)))</f>
        <v>24</v>
      </c>
      <c r="E36" s="0" t="s">
        <v>78</v>
      </c>
    </row>
    <row r="37" customFormat="false" ht="12.8" hidden="false" customHeight="false" outlineLevel="0" collapsed="false">
      <c r="A37" s="0" t="s">
        <v>70</v>
      </c>
      <c r="B37" s="0" t="s">
        <v>79</v>
      </c>
      <c r="C37" s="0" t="n">
        <v>32</v>
      </c>
      <c r="D37" s="0" t="n">
        <f aca="false">MIN(39, MAX(MIN(5, C37), ROUNDUP(C37*0.6, 0)))</f>
        <v>20</v>
      </c>
      <c r="E37" s="0" t="s">
        <v>80</v>
      </c>
    </row>
    <row r="38" customFormat="false" ht="12.8" hidden="false" customHeight="false" outlineLevel="0" collapsed="false">
      <c r="A38" s="0" t="s">
        <v>70</v>
      </c>
      <c r="B38" s="0" t="s">
        <v>81</v>
      </c>
      <c r="C38" s="0" t="n">
        <v>12</v>
      </c>
      <c r="D38" s="0" t="n">
        <f aca="false">MIN(39, MAX(MIN(5, C38), ROUNDUP(C38*0.6, 0)))</f>
        <v>8</v>
      </c>
      <c r="E38" s="0" t="s">
        <v>82</v>
      </c>
    </row>
    <row r="39" customFormat="false" ht="12.8" hidden="false" customHeight="false" outlineLevel="0" collapsed="false">
      <c r="A39" s="0" t="s">
        <v>70</v>
      </c>
      <c r="B39" s="0" t="s">
        <v>83</v>
      </c>
      <c r="C39" s="0" t="n">
        <v>10</v>
      </c>
      <c r="D39" s="0" t="n">
        <f aca="false">MIN(39, MAX(MIN(5, C39), ROUNDUP(C39*0.6, 0)))</f>
        <v>6</v>
      </c>
      <c r="E39" s="0" t="s">
        <v>84</v>
      </c>
    </row>
    <row r="40" customFormat="false" ht="12.8" hidden="false" customHeight="false" outlineLevel="0" collapsed="false">
      <c r="A40" s="0" t="s">
        <v>70</v>
      </c>
      <c r="B40" s="0" t="s">
        <v>85</v>
      </c>
      <c r="C40" s="0" t="n">
        <v>9</v>
      </c>
      <c r="D40" s="0" t="n">
        <f aca="false">MIN(39, MAX(MIN(5, C40), ROUNDUP(C40*0.6, 0)))</f>
        <v>6</v>
      </c>
      <c r="E40" s="0" t="s">
        <v>86</v>
      </c>
    </row>
    <row r="41" customFormat="false" ht="12.8" hidden="false" customHeight="false" outlineLevel="0" collapsed="false">
      <c r="A41" s="0" t="s">
        <v>70</v>
      </c>
      <c r="B41" s="0" t="s">
        <v>87</v>
      </c>
      <c r="C41" s="0" t="n">
        <v>4</v>
      </c>
      <c r="D41" s="0" t="n">
        <f aca="false">MIN(39, MAX(MIN(5, C41), ROUNDUP(C41*0.6, 0)))</f>
        <v>4</v>
      </c>
      <c r="E41" s="0" t="s">
        <v>88</v>
      </c>
    </row>
    <row r="42" customFormat="false" ht="12.8" hidden="false" customHeight="false" outlineLevel="0" collapsed="false">
      <c r="A42" s="0" t="s">
        <v>70</v>
      </c>
      <c r="B42" s="0" t="s">
        <v>89</v>
      </c>
      <c r="C42" s="0" t="n">
        <v>1</v>
      </c>
      <c r="D42" s="0" t="n">
        <f aca="false">MIN(39, MAX(MIN(5, C42), ROUNDUP(C42*0.6, 0)))</f>
        <v>1</v>
      </c>
      <c r="E42" s="0" t="s">
        <v>90</v>
      </c>
    </row>
    <row r="43" customFormat="false" ht="12.8" hidden="false" customHeight="false" outlineLevel="0" collapsed="false">
      <c r="A43" s="0" t="s">
        <v>91</v>
      </c>
      <c r="B43" s="0" t="s">
        <v>92</v>
      </c>
      <c r="C43" s="0" t="n">
        <v>39</v>
      </c>
      <c r="D43" s="0" t="n">
        <f aca="false">MIN(39, MAX(MIN(5, C43), ROUNDUP(C43*0.6, 0)))</f>
        <v>24</v>
      </c>
      <c r="E43" s="0" t="s">
        <v>93</v>
      </c>
    </row>
    <row r="44" customFormat="false" ht="12.8" hidden="false" customHeight="false" outlineLevel="0" collapsed="false">
      <c r="A44" s="0" t="s">
        <v>91</v>
      </c>
      <c r="B44" s="0" t="s">
        <v>94</v>
      </c>
      <c r="C44" s="0" t="n">
        <v>32</v>
      </c>
      <c r="D44" s="0" t="n">
        <f aca="false">MIN(39, MAX(MIN(5, C44), ROUNDUP(C44*0.6, 0)))</f>
        <v>20</v>
      </c>
      <c r="E44" s="0" t="s">
        <v>95</v>
      </c>
    </row>
    <row r="45" customFormat="false" ht="12.8" hidden="false" customHeight="false" outlineLevel="0" collapsed="false">
      <c r="A45" s="0" t="s">
        <v>91</v>
      </c>
      <c r="B45" s="0" t="s">
        <v>96</v>
      </c>
      <c r="C45" s="0" t="n">
        <v>18</v>
      </c>
      <c r="D45" s="0" t="n">
        <f aca="false">MIN(39, MAX(MIN(5, C45), ROUNDUP(C45*0.6, 0)))</f>
        <v>11</v>
      </c>
      <c r="E45" s="0" t="s">
        <v>97</v>
      </c>
    </row>
    <row r="46" customFormat="false" ht="12.8" hidden="false" customHeight="false" outlineLevel="0" collapsed="false">
      <c r="A46" s="0" t="s">
        <v>91</v>
      </c>
      <c r="B46" s="0" t="s">
        <v>98</v>
      </c>
      <c r="C46" s="0" t="n">
        <v>13</v>
      </c>
      <c r="D46" s="0" t="n">
        <f aca="false">MIN(39, MAX(MIN(5, C46), ROUNDUP(C46*0.6, 0)))</f>
        <v>8</v>
      </c>
      <c r="E46" s="0" t="s">
        <v>99</v>
      </c>
    </row>
    <row r="47" customFormat="false" ht="12.8" hidden="false" customHeight="false" outlineLevel="0" collapsed="false">
      <c r="A47" s="0" t="s">
        <v>91</v>
      </c>
      <c r="B47" s="0" t="s">
        <v>100</v>
      </c>
      <c r="C47" s="0" t="n">
        <v>4</v>
      </c>
      <c r="D47" s="0" t="n">
        <f aca="false">MIN(39, MAX(MIN(5, C47), ROUNDUP(C47*0.6, 0)))</f>
        <v>4</v>
      </c>
      <c r="E47" s="0" t="s">
        <v>101</v>
      </c>
    </row>
    <row r="48" customFormat="false" ht="12.8" hidden="false" customHeight="false" outlineLevel="0" collapsed="false">
      <c r="A48" s="0" t="s">
        <v>102</v>
      </c>
      <c r="B48" s="0" t="s">
        <v>103</v>
      </c>
      <c r="C48" s="0" t="n">
        <v>39</v>
      </c>
      <c r="D48" s="0" t="n">
        <f aca="false">MIN(39, MAX(MIN(5, C48), ROUNDUP(C48*0.6, 0)))</f>
        <v>24</v>
      </c>
      <c r="E48" s="0" t="s">
        <v>104</v>
      </c>
    </row>
    <row r="49" customFormat="false" ht="12.8" hidden="false" customHeight="false" outlineLevel="0" collapsed="false">
      <c r="A49" s="0" t="s">
        <v>102</v>
      </c>
      <c r="B49" s="0" t="s">
        <v>105</v>
      </c>
      <c r="C49" s="0" t="n">
        <v>39</v>
      </c>
      <c r="D49" s="0" t="n">
        <f aca="false">MIN(39, MAX(MIN(5, C49), ROUNDUP(C49*0.6, 0)))</f>
        <v>24</v>
      </c>
      <c r="E49" s="0" t="s">
        <v>106</v>
      </c>
    </row>
    <row r="50" customFormat="false" ht="12.8" hidden="false" customHeight="false" outlineLevel="0" collapsed="false">
      <c r="A50" s="0" t="s">
        <v>102</v>
      </c>
      <c r="B50" s="0" t="s">
        <v>107</v>
      </c>
      <c r="C50" s="0" t="n">
        <v>39</v>
      </c>
      <c r="D50" s="0" t="n">
        <f aca="false">MIN(39, MAX(MIN(5, C50), ROUNDUP(C50*0.6, 0)))</f>
        <v>24</v>
      </c>
      <c r="E50" s="0" t="s">
        <v>108</v>
      </c>
    </row>
    <row r="51" customFormat="false" ht="12.8" hidden="false" customHeight="false" outlineLevel="0" collapsed="false">
      <c r="A51" s="0" t="s">
        <v>102</v>
      </c>
      <c r="B51" s="0" t="s">
        <v>109</v>
      </c>
      <c r="C51" s="0" t="n">
        <v>39</v>
      </c>
      <c r="D51" s="0" t="n">
        <f aca="false">MIN(39, MAX(MIN(5, C51), ROUNDUP(C51*0.6, 0)))</f>
        <v>24</v>
      </c>
      <c r="E51" s="0" t="s">
        <v>110</v>
      </c>
    </row>
    <row r="52" customFormat="false" ht="12.8" hidden="false" customHeight="false" outlineLevel="0" collapsed="false">
      <c r="A52" s="0" t="s">
        <v>102</v>
      </c>
      <c r="B52" s="0" t="s">
        <v>111</v>
      </c>
      <c r="C52" s="0" t="n">
        <v>39</v>
      </c>
      <c r="D52" s="0" t="n">
        <f aca="false">MIN(39, MAX(MIN(5, C52), ROUNDUP(C52*0.6, 0)))</f>
        <v>24</v>
      </c>
      <c r="E52" s="0" t="s">
        <v>112</v>
      </c>
    </row>
    <row r="53" customFormat="false" ht="12.8" hidden="false" customHeight="false" outlineLevel="0" collapsed="false">
      <c r="A53" s="0" t="s">
        <v>102</v>
      </c>
      <c r="B53" s="0" t="s">
        <v>113</v>
      </c>
      <c r="C53" s="0" t="n">
        <v>39</v>
      </c>
      <c r="D53" s="0" t="n">
        <f aca="false">MIN(39, MAX(MIN(5, C53), ROUNDUP(C53*0.6, 0)))</f>
        <v>24</v>
      </c>
      <c r="E53" s="0" t="s">
        <v>114</v>
      </c>
    </row>
    <row r="54" customFormat="false" ht="12.8" hidden="false" customHeight="false" outlineLevel="0" collapsed="false">
      <c r="A54" s="0" t="s">
        <v>102</v>
      </c>
      <c r="B54" s="0" t="s">
        <v>115</v>
      </c>
      <c r="C54" s="0" t="n">
        <v>39</v>
      </c>
      <c r="D54" s="0" t="n">
        <f aca="false">MIN(39, MAX(MIN(5, C54), ROUNDUP(C54*0.6, 0)))</f>
        <v>24</v>
      </c>
      <c r="E54" s="0" t="s">
        <v>116</v>
      </c>
    </row>
    <row r="55" customFormat="false" ht="12.8" hidden="false" customHeight="false" outlineLevel="0" collapsed="false">
      <c r="A55" s="0" t="s">
        <v>102</v>
      </c>
      <c r="B55" s="0" t="s">
        <v>117</v>
      </c>
      <c r="C55" s="0" t="n">
        <v>39</v>
      </c>
      <c r="D55" s="0" t="n">
        <f aca="false">MIN(39, MAX(MIN(5, C55), ROUNDUP(C55*0.6, 0)))</f>
        <v>24</v>
      </c>
      <c r="E55" s="0" t="s">
        <v>118</v>
      </c>
    </row>
    <row r="56" customFormat="false" ht="12.8" hidden="false" customHeight="false" outlineLevel="0" collapsed="false">
      <c r="A56" s="0" t="s">
        <v>102</v>
      </c>
      <c r="B56" s="0" t="s">
        <v>119</v>
      </c>
      <c r="C56" s="0" t="n">
        <v>39</v>
      </c>
      <c r="D56" s="0" t="n">
        <f aca="false">MIN(39, MAX(MIN(5, C56), ROUNDUP(C56*0.6, 0)))</f>
        <v>24</v>
      </c>
      <c r="E56" s="0" t="s">
        <v>120</v>
      </c>
    </row>
    <row r="57" customFormat="false" ht="12.8" hidden="false" customHeight="false" outlineLevel="0" collapsed="false">
      <c r="A57" s="0" t="s">
        <v>102</v>
      </c>
      <c r="B57" s="0" t="s">
        <v>121</v>
      </c>
      <c r="C57" s="0" t="n">
        <v>39</v>
      </c>
      <c r="D57" s="0" t="n">
        <f aca="false">MIN(39, MAX(MIN(5, C57), ROUNDUP(C57*0.6, 0)))</f>
        <v>24</v>
      </c>
      <c r="E57" s="0" t="s">
        <v>122</v>
      </c>
    </row>
    <row r="58" customFormat="false" ht="12.8" hidden="false" customHeight="false" outlineLevel="0" collapsed="false">
      <c r="A58" s="0" t="s">
        <v>102</v>
      </c>
      <c r="B58" s="0" t="s">
        <v>123</v>
      </c>
      <c r="C58" s="0" t="n">
        <v>39</v>
      </c>
      <c r="D58" s="0" t="n">
        <f aca="false">MIN(39, MAX(MIN(5, C58), ROUNDUP(C58*0.6, 0)))</f>
        <v>24</v>
      </c>
      <c r="E58" s="0" t="s">
        <v>124</v>
      </c>
    </row>
    <row r="59" customFormat="false" ht="12.8" hidden="false" customHeight="false" outlineLevel="0" collapsed="false">
      <c r="A59" s="0" t="s">
        <v>102</v>
      </c>
      <c r="B59" s="0" t="s">
        <v>125</v>
      </c>
      <c r="C59" s="0" t="n">
        <v>39</v>
      </c>
      <c r="D59" s="0" t="n">
        <f aca="false">MIN(39, MAX(MIN(5, C59), ROUNDUP(C59*0.6, 0)))</f>
        <v>24</v>
      </c>
      <c r="E59" s="0" t="s">
        <v>126</v>
      </c>
    </row>
    <row r="60" customFormat="false" ht="12.8" hidden="false" customHeight="false" outlineLevel="0" collapsed="false">
      <c r="A60" s="0" t="s">
        <v>102</v>
      </c>
      <c r="B60" s="0" t="s">
        <v>127</v>
      </c>
      <c r="C60" s="0" t="n">
        <v>39</v>
      </c>
      <c r="D60" s="0" t="n">
        <f aca="false">MIN(39, MAX(MIN(5, C60), ROUNDUP(C60*0.6, 0)))</f>
        <v>24</v>
      </c>
      <c r="E60" s="0" t="s">
        <v>128</v>
      </c>
    </row>
    <row r="61" customFormat="false" ht="12.8" hidden="false" customHeight="false" outlineLevel="0" collapsed="false">
      <c r="A61" s="0" t="s">
        <v>102</v>
      </c>
      <c r="B61" s="0" t="s">
        <v>129</v>
      </c>
      <c r="C61" s="0" t="n">
        <v>39</v>
      </c>
      <c r="D61" s="0" t="n">
        <f aca="false">MIN(39, MAX(MIN(5, C61), ROUNDUP(C61*0.6, 0)))</f>
        <v>24</v>
      </c>
      <c r="E61" s="0" t="s">
        <v>130</v>
      </c>
    </row>
    <row r="62" customFormat="false" ht="12.8" hidden="false" customHeight="false" outlineLevel="0" collapsed="false">
      <c r="A62" s="0" t="s">
        <v>102</v>
      </c>
      <c r="B62" s="0" t="s">
        <v>131</v>
      </c>
      <c r="C62" s="0" t="n">
        <v>39</v>
      </c>
      <c r="D62" s="0" t="n">
        <f aca="false">MIN(39, MAX(MIN(5, C62), ROUNDUP(C62*0.6, 0)))</f>
        <v>24</v>
      </c>
      <c r="E62" s="0" t="s">
        <v>132</v>
      </c>
    </row>
    <row r="63" customFormat="false" ht="12.8" hidden="false" customHeight="false" outlineLevel="0" collapsed="false">
      <c r="A63" s="0" t="s">
        <v>102</v>
      </c>
      <c r="B63" s="0" t="s">
        <v>133</v>
      </c>
      <c r="C63" s="0" t="n">
        <v>38</v>
      </c>
      <c r="D63" s="0" t="n">
        <f aca="false">MIN(39, MAX(MIN(5, C63), ROUNDUP(C63*0.6, 0)))</f>
        <v>23</v>
      </c>
      <c r="E63" s="0" t="s">
        <v>134</v>
      </c>
    </row>
    <row r="64" customFormat="false" ht="12.8" hidden="false" customHeight="false" outlineLevel="0" collapsed="false">
      <c r="A64" s="0" t="s">
        <v>102</v>
      </c>
      <c r="B64" s="0" t="s">
        <v>135</v>
      </c>
      <c r="C64" s="0" t="n">
        <v>37</v>
      </c>
      <c r="D64" s="0" t="n">
        <f aca="false">MIN(39, MAX(MIN(5, C64), ROUNDUP(C64*0.6, 0)))</f>
        <v>23</v>
      </c>
      <c r="E64" s="0" t="s">
        <v>136</v>
      </c>
    </row>
    <row r="65" customFormat="false" ht="12.8" hidden="false" customHeight="false" outlineLevel="0" collapsed="false">
      <c r="A65" s="0" t="s">
        <v>102</v>
      </c>
      <c r="B65" s="0" t="s">
        <v>137</v>
      </c>
      <c r="C65" s="0" t="n">
        <v>37</v>
      </c>
      <c r="D65" s="0" t="n">
        <f aca="false">MIN(39, MAX(MIN(5, C65), ROUNDUP(C65*0.6, 0)))</f>
        <v>23</v>
      </c>
      <c r="E65" s="0" t="s">
        <v>138</v>
      </c>
    </row>
    <row r="66" customFormat="false" ht="12.8" hidden="false" customHeight="false" outlineLevel="0" collapsed="false">
      <c r="A66" s="0" t="s">
        <v>102</v>
      </c>
      <c r="B66" s="0" t="s">
        <v>139</v>
      </c>
      <c r="C66" s="0" t="n">
        <v>31</v>
      </c>
      <c r="D66" s="0" t="n">
        <f aca="false">MIN(39, MAX(MIN(5, C66), ROUNDUP(C66*0.6, 0)))</f>
        <v>19</v>
      </c>
      <c r="E66" s="0" t="s">
        <v>140</v>
      </c>
    </row>
    <row r="67" customFormat="false" ht="12.8" hidden="false" customHeight="false" outlineLevel="0" collapsed="false">
      <c r="A67" s="0" t="s">
        <v>102</v>
      </c>
      <c r="B67" s="0" t="s">
        <v>141</v>
      </c>
      <c r="C67" s="0" t="n">
        <v>28</v>
      </c>
      <c r="D67" s="0" t="n">
        <f aca="false">MIN(39, MAX(MIN(5, C67), ROUNDUP(C67*0.6, 0)))</f>
        <v>17</v>
      </c>
      <c r="E67" s="0" t="s">
        <v>142</v>
      </c>
    </row>
    <row r="68" customFormat="false" ht="12.8" hidden="false" customHeight="false" outlineLevel="0" collapsed="false">
      <c r="A68" s="0" t="s">
        <v>102</v>
      </c>
      <c r="B68" s="0" t="s">
        <v>143</v>
      </c>
      <c r="C68" s="0" t="n">
        <v>27</v>
      </c>
      <c r="D68" s="0" t="n">
        <f aca="false">MIN(39, MAX(MIN(5, C68), ROUNDUP(C68*0.6, 0)))</f>
        <v>17</v>
      </c>
      <c r="E68" s="0" t="s">
        <v>144</v>
      </c>
    </row>
    <row r="69" customFormat="false" ht="12.8" hidden="false" customHeight="false" outlineLevel="0" collapsed="false">
      <c r="A69" s="0" t="s">
        <v>102</v>
      </c>
      <c r="B69" s="0" t="s">
        <v>145</v>
      </c>
      <c r="C69" s="0" t="n">
        <v>25</v>
      </c>
      <c r="D69" s="0" t="n">
        <f aca="false">MIN(39, MAX(MIN(5, C69), ROUNDUP(C69*0.6, 0)))</f>
        <v>15</v>
      </c>
      <c r="E69" s="0" t="s">
        <v>146</v>
      </c>
    </row>
    <row r="70" customFormat="false" ht="12.8" hidden="false" customHeight="false" outlineLevel="0" collapsed="false">
      <c r="A70" s="0" t="s">
        <v>102</v>
      </c>
      <c r="B70" s="0" t="s">
        <v>147</v>
      </c>
      <c r="C70" s="0" t="n">
        <v>25</v>
      </c>
      <c r="D70" s="0" t="n">
        <f aca="false">MIN(39, MAX(MIN(5, C70), ROUNDUP(C70*0.6, 0)))</f>
        <v>15</v>
      </c>
      <c r="E70" s="0" t="s">
        <v>148</v>
      </c>
    </row>
    <row r="71" customFormat="false" ht="12.8" hidden="false" customHeight="false" outlineLevel="0" collapsed="false">
      <c r="A71" s="0" t="s">
        <v>102</v>
      </c>
      <c r="B71" s="0" t="s">
        <v>149</v>
      </c>
      <c r="C71" s="0" t="n">
        <v>24</v>
      </c>
      <c r="D71" s="0" t="n">
        <f aca="false">MIN(39, MAX(MIN(5, C71), ROUNDUP(C71*0.6, 0)))</f>
        <v>15</v>
      </c>
      <c r="E71" s="0" t="s">
        <v>150</v>
      </c>
    </row>
    <row r="72" customFormat="false" ht="12.8" hidden="false" customHeight="false" outlineLevel="0" collapsed="false">
      <c r="A72" s="0" t="s">
        <v>102</v>
      </c>
      <c r="B72" s="0" t="s">
        <v>151</v>
      </c>
      <c r="C72" s="0" t="n">
        <v>24</v>
      </c>
      <c r="D72" s="0" t="n">
        <f aca="false">MIN(39, MAX(MIN(5, C72), ROUNDUP(C72*0.6, 0)))</f>
        <v>15</v>
      </c>
      <c r="E72" s="0" t="s">
        <v>152</v>
      </c>
    </row>
    <row r="73" customFormat="false" ht="12.8" hidden="false" customHeight="false" outlineLevel="0" collapsed="false">
      <c r="A73" s="0" t="s">
        <v>102</v>
      </c>
      <c r="B73" s="0" t="s">
        <v>153</v>
      </c>
      <c r="C73" s="0" t="n">
        <v>24</v>
      </c>
      <c r="D73" s="0" t="n">
        <f aca="false">MIN(39, MAX(MIN(5, C73), ROUNDUP(C73*0.6, 0)))</f>
        <v>15</v>
      </c>
      <c r="E73" s="0" t="s">
        <v>154</v>
      </c>
    </row>
    <row r="74" customFormat="false" ht="12.8" hidden="false" customHeight="false" outlineLevel="0" collapsed="false">
      <c r="A74" s="0" t="s">
        <v>102</v>
      </c>
      <c r="B74" s="0" t="s">
        <v>155</v>
      </c>
      <c r="C74" s="0" t="n">
        <v>22</v>
      </c>
      <c r="D74" s="0" t="n">
        <f aca="false">MIN(39, MAX(MIN(5, C74), ROUNDUP(C74*0.6, 0)))</f>
        <v>14</v>
      </c>
      <c r="E74" s="0" t="s">
        <v>156</v>
      </c>
    </row>
    <row r="75" customFormat="false" ht="12.8" hidden="false" customHeight="false" outlineLevel="0" collapsed="false">
      <c r="A75" s="0" t="s">
        <v>102</v>
      </c>
      <c r="B75" s="0" t="s">
        <v>157</v>
      </c>
      <c r="C75" s="0" t="n">
        <v>22</v>
      </c>
      <c r="D75" s="0" t="n">
        <f aca="false">MIN(39, MAX(MIN(5, C75), ROUNDUP(C75*0.6, 0)))</f>
        <v>14</v>
      </c>
      <c r="E75" s="0" t="s">
        <v>158</v>
      </c>
    </row>
    <row r="76" customFormat="false" ht="12.8" hidden="false" customHeight="false" outlineLevel="0" collapsed="false">
      <c r="A76" s="0" t="s">
        <v>102</v>
      </c>
      <c r="B76" s="0" t="s">
        <v>159</v>
      </c>
      <c r="C76" s="0" t="n">
        <v>21</v>
      </c>
      <c r="D76" s="0" t="n">
        <f aca="false">MIN(39, MAX(MIN(5, C76), ROUNDUP(C76*0.6, 0)))</f>
        <v>13</v>
      </c>
      <c r="E76" s="0" t="s">
        <v>160</v>
      </c>
    </row>
    <row r="77" customFormat="false" ht="12.8" hidden="false" customHeight="false" outlineLevel="0" collapsed="false">
      <c r="A77" s="0" t="s">
        <v>102</v>
      </c>
      <c r="B77" s="0" t="s">
        <v>161</v>
      </c>
      <c r="C77" s="0" t="n">
        <v>21</v>
      </c>
      <c r="D77" s="0" t="n">
        <f aca="false">MIN(39, MAX(MIN(5, C77), ROUNDUP(C77*0.6, 0)))</f>
        <v>13</v>
      </c>
      <c r="E77" s="0" t="s">
        <v>162</v>
      </c>
    </row>
    <row r="78" customFormat="false" ht="12.8" hidden="false" customHeight="false" outlineLevel="0" collapsed="false">
      <c r="A78" s="0" t="s">
        <v>102</v>
      </c>
      <c r="B78" s="0" t="s">
        <v>163</v>
      </c>
      <c r="C78" s="0" t="n">
        <v>20</v>
      </c>
      <c r="D78" s="0" t="n">
        <f aca="false">MIN(39, MAX(MIN(5, C78), ROUNDUP(C78*0.6, 0)))</f>
        <v>12</v>
      </c>
      <c r="E78" s="0" t="s">
        <v>164</v>
      </c>
    </row>
    <row r="79" customFormat="false" ht="12.8" hidden="false" customHeight="false" outlineLevel="0" collapsed="false">
      <c r="A79" s="0" t="s">
        <v>102</v>
      </c>
      <c r="B79" s="0" t="s">
        <v>165</v>
      </c>
      <c r="C79" s="0" t="n">
        <v>20</v>
      </c>
      <c r="D79" s="0" t="n">
        <f aca="false">MIN(39, MAX(MIN(5, C79), ROUNDUP(C79*0.6, 0)))</f>
        <v>12</v>
      </c>
      <c r="E79" s="0" t="s">
        <v>166</v>
      </c>
    </row>
    <row r="80" customFormat="false" ht="12.8" hidden="false" customHeight="false" outlineLevel="0" collapsed="false">
      <c r="A80" s="0" t="s">
        <v>102</v>
      </c>
      <c r="B80" s="0" t="s">
        <v>167</v>
      </c>
      <c r="C80" s="0" t="n">
        <v>19</v>
      </c>
      <c r="D80" s="0" t="n">
        <f aca="false">MIN(39, MAX(MIN(5, C80), ROUNDUP(C80*0.6, 0)))</f>
        <v>12</v>
      </c>
      <c r="E80" s="0" t="s">
        <v>168</v>
      </c>
    </row>
    <row r="81" customFormat="false" ht="12.8" hidden="false" customHeight="false" outlineLevel="0" collapsed="false">
      <c r="A81" s="0" t="s">
        <v>102</v>
      </c>
      <c r="B81" s="0" t="s">
        <v>169</v>
      </c>
      <c r="C81" s="0" t="n">
        <v>17</v>
      </c>
      <c r="D81" s="0" t="n">
        <f aca="false">MIN(39, MAX(MIN(5, C81), ROUNDUP(C81*0.6, 0)))</f>
        <v>11</v>
      </c>
      <c r="E81" s="0" t="s">
        <v>170</v>
      </c>
    </row>
    <row r="82" customFormat="false" ht="12.8" hidden="false" customHeight="false" outlineLevel="0" collapsed="false">
      <c r="A82" s="0" t="s">
        <v>102</v>
      </c>
      <c r="B82" s="0" t="s">
        <v>171</v>
      </c>
      <c r="C82" s="0" t="n">
        <v>17</v>
      </c>
      <c r="D82" s="0" t="n">
        <f aca="false">MIN(39, MAX(MIN(5, C82), ROUNDUP(C82*0.6, 0)))</f>
        <v>11</v>
      </c>
      <c r="E82" s="0" t="s">
        <v>172</v>
      </c>
    </row>
    <row r="83" customFormat="false" ht="12.8" hidden="false" customHeight="false" outlineLevel="0" collapsed="false">
      <c r="A83" s="0" t="s">
        <v>102</v>
      </c>
      <c r="B83" s="0" t="s">
        <v>173</v>
      </c>
      <c r="C83" s="0" t="n">
        <v>16</v>
      </c>
      <c r="D83" s="0" t="n">
        <f aca="false">MIN(39, MAX(MIN(5, C83), ROUNDUP(C83*0.6, 0)))</f>
        <v>10</v>
      </c>
      <c r="E83" s="0" t="s">
        <v>174</v>
      </c>
    </row>
    <row r="84" customFormat="false" ht="12.8" hidden="false" customHeight="false" outlineLevel="0" collapsed="false">
      <c r="A84" s="0" t="s">
        <v>102</v>
      </c>
      <c r="B84" s="0" t="s">
        <v>175</v>
      </c>
      <c r="C84" s="0" t="n">
        <v>16</v>
      </c>
      <c r="D84" s="0" t="n">
        <f aca="false">MIN(39, MAX(MIN(5, C84), ROUNDUP(C84*0.6, 0)))</f>
        <v>10</v>
      </c>
      <c r="E84" s="0" t="s">
        <v>176</v>
      </c>
    </row>
    <row r="85" customFormat="false" ht="12.8" hidden="false" customHeight="false" outlineLevel="0" collapsed="false">
      <c r="A85" s="0" t="s">
        <v>102</v>
      </c>
      <c r="B85" s="0" t="s">
        <v>177</v>
      </c>
      <c r="C85" s="0" t="n">
        <v>16</v>
      </c>
      <c r="D85" s="0" t="n">
        <f aca="false">MIN(39, MAX(MIN(5, C85), ROUNDUP(C85*0.6, 0)))</f>
        <v>10</v>
      </c>
      <c r="E85" s="0" t="s">
        <v>178</v>
      </c>
    </row>
    <row r="86" customFormat="false" ht="12.8" hidden="false" customHeight="false" outlineLevel="0" collapsed="false">
      <c r="A86" s="0" t="s">
        <v>102</v>
      </c>
      <c r="B86" s="0" t="s">
        <v>179</v>
      </c>
      <c r="C86" s="0" t="n">
        <v>14</v>
      </c>
      <c r="D86" s="0" t="n">
        <f aca="false">MIN(39, MAX(MIN(5, C86), ROUNDUP(C86*0.6, 0)))</f>
        <v>9</v>
      </c>
      <c r="E86" s="0" t="s">
        <v>180</v>
      </c>
    </row>
    <row r="87" customFormat="false" ht="12.8" hidden="false" customHeight="false" outlineLevel="0" collapsed="false">
      <c r="A87" s="0" t="s">
        <v>102</v>
      </c>
      <c r="B87" s="0" t="s">
        <v>181</v>
      </c>
      <c r="C87" s="0" t="n">
        <v>14</v>
      </c>
      <c r="D87" s="0" t="n">
        <f aca="false">MIN(39, MAX(MIN(5, C87), ROUNDUP(C87*0.6, 0)))</f>
        <v>9</v>
      </c>
      <c r="E87" s="0" t="s">
        <v>182</v>
      </c>
    </row>
    <row r="88" customFormat="false" ht="12.8" hidden="false" customHeight="false" outlineLevel="0" collapsed="false">
      <c r="A88" s="0" t="s">
        <v>102</v>
      </c>
      <c r="B88" s="0" t="s">
        <v>183</v>
      </c>
      <c r="C88" s="0" t="n">
        <v>14</v>
      </c>
      <c r="D88" s="0" t="n">
        <f aca="false">MIN(39, MAX(MIN(5, C88), ROUNDUP(C88*0.6, 0)))</f>
        <v>9</v>
      </c>
      <c r="E88" s="0" t="s">
        <v>184</v>
      </c>
    </row>
    <row r="89" customFormat="false" ht="12.8" hidden="false" customHeight="false" outlineLevel="0" collapsed="false">
      <c r="A89" s="0" t="s">
        <v>102</v>
      </c>
      <c r="B89" s="0" t="s">
        <v>185</v>
      </c>
      <c r="C89" s="0" t="n">
        <v>13</v>
      </c>
      <c r="D89" s="0" t="n">
        <f aca="false">MIN(39, MAX(MIN(5, C89), ROUNDUP(C89*0.6, 0)))</f>
        <v>8</v>
      </c>
      <c r="E89" s="0" t="s">
        <v>186</v>
      </c>
    </row>
    <row r="90" customFormat="false" ht="12.8" hidden="false" customHeight="false" outlineLevel="0" collapsed="false">
      <c r="A90" s="0" t="s">
        <v>102</v>
      </c>
      <c r="B90" s="0" t="s">
        <v>187</v>
      </c>
      <c r="C90" s="0" t="n">
        <v>13</v>
      </c>
      <c r="D90" s="0" t="n">
        <f aca="false">MIN(39, MAX(MIN(5, C90), ROUNDUP(C90*0.6, 0)))</f>
        <v>8</v>
      </c>
      <c r="E90" s="0" t="s">
        <v>188</v>
      </c>
    </row>
    <row r="91" customFormat="false" ht="12.8" hidden="false" customHeight="false" outlineLevel="0" collapsed="false">
      <c r="A91" s="0" t="s">
        <v>102</v>
      </c>
      <c r="B91" s="0" t="s">
        <v>189</v>
      </c>
      <c r="C91" s="0" t="n">
        <v>13</v>
      </c>
      <c r="D91" s="0" t="n">
        <f aca="false">MIN(39, MAX(MIN(5, C91), ROUNDUP(C91*0.6, 0)))</f>
        <v>8</v>
      </c>
      <c r="E91" s="0" t="s">
        <v>190</v>
      </c>
    </row>
    <row r="92" customFormat="false" ht="12.8" hidden="false" customHeight="false" outlineLevel="0" collapsed="false">
      <c r="A92" s="0" t="s">
        <v>102</v>
      </c>
      <c r="B92" s="0" t="s">
        <v>191</v>
      </c>
      <c r="C92" s="0" t="n">
        <v>12</v>
      </c>
      <c r="D92" s="0" t="n">
        <f aca="false">MIN(39, MAX(MIN(5, C92), ROUNDUP(C92*0.6, 0)))</f>
        <v>8</v>
      </c>
      <c r="E92" s="0" t="s">
        <v>192</v>
      </c>
    </row>
    <row r="93" customFormat="false" ht="12.8" hidden="false" customHeight="false" outlineLevel="0" collapsed="false">
      <c r="A93" s="0" t="s">
        <v>102</v>
      </c>
      <c r="B93" s="0" t="s">
        <v>193</v>
      </c>
      <c r="C93" s="0" t="n">
        <v>12</v>
      </c>
      <c r="D93" s="0" t="n">
        <f aca="false">MIN(39, MAX(MIN(5, C93), ROUNDUP(C93*0.6, 0)))</f>
        <v>8</v>
      </c>
      <c r="E93" s="0" t="s">
        <v>194</v>
      </c>
    </row>
    <row r="94" customFormat="false" ht="12.8" hidden="false" customHeight="false" outlineLevel="0" collapsed="false">
      <c r="A94" s="0" t="s">
        <v>102</v>
      </c>
      <c r="B94" s="0" t="s">
        <v>195</v>
      </c>
      <c r="C94" s="0" t="n">
        <v>12</v>
      </c>
      <c r="D94" s="0" t="n">
        <f aca="false">MIN(39, MAX(MIN(5, C94), ROUNDUP(C94*0.6, 0)))</f>
        <v>8</v>
      </c>
      <c r="E94" s="0" t="s">
        <v>196</v>
      </c>
    </row>
    <row r="95" customFormat="false" ht="12.8" hidden="false" customHeight="false" outlineLevel="0" collapsed="false">
      <c r="A95" s="0" t="s">
        <v>102</v>
      </c>
      <c r="B95" s="0" t="s">
        <v>197</v>
      </c>
      <c r="C95" s="0" t="n">
        <v>11</v>
      </c>
      <c r="D95" s="0" t="n">
        <f aca="false">MIN(39, MAX(MIN(5, C95), ROUNDUP(C95*0.6, 0)))</f>
        <v>7</v>
      </c>
      <c r="E95" s="0" t="s">
        <v>198</v>
      </c>
    </row>
    <row r="96" customFormat="false" ht="12.8" hidden="false" customHeight="false" outlineLevel="0" collapsed="false">
      <c r="A96" s="0" t="s">
        <v>102</v>
      </c>
      <c r="B96" s="0" t="s">
        <v>199</v>
      </c>
      <c r="C96" s="0" t="n">
        <v>10</v>
      </c>
      <c r="D96" s="0" t="n">
        <f aca="false">MIN(39, MAX(MIN(5, C96), ROUNDUP(C96*0.6, 0)))</f>
        <v>6</v>
      </c>
      <c r="E96" s="0" t="s">
        <v>200</v>
      </c>
    </row>
    <row r="97" customFormat="false" ht="12.8" hidden="false" customHeight="false" outlineLevel="0" collapsed="false">
      <c r="A97" s="0" t="s">
        <v>102</v>
      </c>
      <c r="B97" s="0" t="s">
        <v>201</v>
      </c>
      <c r="C97" s="0" t="n">
        <v>10</v>
      </c>
      <c r="D97" s="0" t="n">
        <f aca="false">MIN(39, MAX(MIN(5, C97), ROUNDUP(C97*0.6, 0)))</f>
        <v>6</v>
      </c>
      <c r="E97" s="0" t="s">
        <v>202</v>
      </c>
    </row>
    <row r="98" customFormat="false" ht="12.8" hidden="false" customHeight="false" outlineLevel="0" collapsed="false">
      <c r="A98" s="0" t="s">
        <v>102</v>
      </c>
      <c r="B98" s="0" t="s">
        <v>203</v>
      </c>
      <c r="C98" s="0" t="n">
        <v>9</v>
      </c>
      <c r="D98" s="0" t="n">
        <f aca="false">MIN(39, MAX(MIN(5, C98), ROUNDUP(C98*0.6, 0)))</f>
        <v>6</v>
      </c>
      <c r="E98" s="0" t="s">
        <v>204</v>
      </c>
    </row>
    <row r="99" customFormat="false" ht="12.8" hidden="false" customHeight="false" outlineLevel="0" collapsed="false">
      <c r="A99" s="0" t="s">
        <v>102</v>
      </c>
      <c r="B99" s="0" t="s">
        <v>205</v>
      </c>
      <c r="C99" s="0" t="n">
        <v>9</v>
      </c>
      <c r="D99" s="0" t="n">
        <f aca="false">MIN(39, MAX(MIN(5, C99), ROUNDUP(C99*0.6, 0)))</f>
        <v>6</v>
      </c>
      <c r="E99" s="0" t="s">
        <v>206</v>
      </c>
    </row>
    <row r="100" customFormat="false" ht="12.8" hidden="false" customHeight="false" outlineLevel="0" collapsed="false">
      <c r="A100" s="0" t="s">
        <v>102</v>
      </c>
      <c r="B100" s="0" t="s">
        <v>207</v>
      </c>
      <c r="C100" s="0" t="n">
        <v>7</v>
      </c>
      <c r="D100" s="0" t="n">
        <f aca="false">MIN(39, MAX(MIN(5, C100), ROUNDUP(C100*0.6, 0)))</f>
        <v>5</v>
      </c>
      <c r="E100" s="0" t="s">
        <v>208</v>
      </c>
    </row>
    <row r="101" customFormat="false" ht="12.8" hidden="false" customHeight="false" outlineLevel="0" collapsed="false">
      <c r="A101" s="0" t="s">
        <v>102</v>
      </c>
      <c r="B101" s="0" t="s">
        <v>209</v>
      </c>
      <c r="C101" s="0" t="n">
        <v>7</v>
      </c>
      <c r="D101" s="0" t="n">
        <f aca="false">MIN(39, MAX(MIN(5, C101), ROUNDUP(C101*0.6, 0)))</f>
        <v>5</v>
      </c>
      <c r="E101" s="0" t="s">
        <v>210</v>
      </c>
    </row>
    <row r="102" customFormat="false" ht="12.8" hidden="false" customHeight="false" outlineLevel="0" collapsed="false">
      <c r="A102" s="0" t="s">
        <v>102</v>
      </c>
      <c r="B102" s="0" t="s">
        <v>211</v>
      </c>
      <c r="C102" s="0" t="n">
        <v>6</v>
      </c>
      <c r="D102" s="0" t="n">
        <f aca="false">MIN(39, MAX(MIN(5, C102), ROUNDUP(C102*0.6, 0)))</f>
        <v>5</v>
      </c>
      <c r="E102" s="0" t="s">
        <v>212</v>
      </c>
    </row>
    <row r="103" customFormat="false" ht="12.8" hidden="false" customHeight="false" outlineLevel="0" collapsed="false">
      <c r="A103" s="0" t="s">
        <v>102</v>
      </c>
      <c r="B103" s="0" t="s">
        <v>213</v>
      </c>
      <c r="C103" s="0" t="n">
        <v>6</v>
      </c>
      <c r="D103" s="0" t="n">
        <f aca="false">MIN(39, MAX(MIN(5, C103), ROUNDUP(C103*0.6, 0)))</f>
        <v>5</v>
      </c>
      <c r="E103" s="0" t="s">
        <v>214</v>
      </c>
    </row>
    <row r="104" customFormat="false" ht="12.8" hidden="false" customHeight="false" outlineLevel="0" collapsed="false">
      <c r="A104" s="0" t="s">
        <v>102</v>
      </c>
      <c r="B104" s="0" t="s">
        <v>215</v>
      </c>
      <c r="C104" s="0" t="n">
        <v>6</v>
      </c>
      <c r="D104" s="0" t="n">
        <f aca="false">MIN(39, MAX(MIN(5, C104), ROUNDUP(C104*0.6, 0)))</f>
        <v>5</v>
      </c>
      <c r="E104" s="0" t="s">
        <v>216</v>
      </c>
    </row>
    <row r="105" customFormat="false" ht="12.8" hidden="false" customHeight="false" outlineLevel="0" collapsed="false">
      <c r="A105" s="0" t="s">
        <v>102</v>
      </c>
      <c r="B105" s="0" t="s">
        <v>217</v>
      </c>
      <c r="C105" s="0" t="n">
        <v>6</v>
      </c>
      <c r="D105" s="0" t="n">
        <f aca="false">MIN(39, MAX(MIN(5, C105), ROUNDUP(C105*0.6, 0)))</f>
        <v>5</v>
      </c>
      <c r="E105" s="0" t="s">
        <v>218</v>
      </c>
    </row>
    <row r="106" customFormat="false" ht="12.8" hidden="false" customHeight="false" outlineLevel="0" collapsed="false">
      <c r="A106" s="0" t="s">
        <v>102</v>
      </c>
      <c r="B106" s="0" t="s">
        <v>219</v>
      </c>
      <c r="C106" s="0" t="n">
        <v>6</v>
      </c>
      <c r="D106" s="0" t="n">
        <f aca="false">MIN(39, MAX(MIN(5, C106), ROUNDUP(C106*0.6, 0)))</f>
        <v>5</v>
      </c>
      <c r="E106" s="0" t="s">
        <v>220</v>
      </c>
    </row>
    <row r="107" customFormat="false" ht="12.8" hidden="false" customHeight="false" outlineLevel="0" collapsed="false">
      <c r="A107" s="0" t="s">
        <v>102</v>
      </c>
      <c r="B107" s="0" t="s">
        <v>221</v>
      </c>
      <c r="C107" s="0" t="n">
        <v>6</v>
      </c>
      <c r="D107" s="0" t="n">
        <f aca="false">MIN(39, MAX(MIN(5, C107), ROUNDUP(C107*0.6, 0)))</f>
        <v>5</v>
      </c>
      <c r="E107" s="0" t="s">
        <v>222</v>
      </c>
    </row>
    <row r="108" customFormat="false" ht="12.8" hidden="false" customHeight="false" outlineLevel="0" collapsed="false">
      <c r="A108" s="0" t="s">
        <v>102</v>
      </c>
      <c r="B108" s="0" t="s">
        <v>223</v>
      </c>
      <c r="C108" s="0" t="n">
        <v>5</v>
      </c>
      <c r="D108" s="0" t="n">
        <f aca="false">MIN(39, MAX(MIN(5, C108), ROUNDUP(C108*0.6, 0)))</f>
        <v>5</v>
      </c>
      <c r="E108" s="0" t="s">
        <v>224</v>
      </c>
    </row>
    <row r="109" customFormat="false" ht="12.8" hidden="false" customHeight="false" outlineLevel="0" collapsed="false">
      <c r="A109" s="0" t="s">
        <v>102</v>
      </c>
      <c r="B109" s="0" t="s">
        <v>225</v>
      </c>
      <c r="C109" s="0" t="n">
        <v>5</v>
      </c>
      <c r="D109" s="0" t="n">
        <f aca="false">MIN(39, MAX(MIN(5, C109), ROUNDUP(C109*0.6, 0)))</f>
        <v>5</v>
      </c>
      <c r="E109" s="0" t="s">
        <v>226</v>
      </c>
    </row>
    <row r="110" customFormat="false" ht="12.8" hidden="false" customHeight="false" outlineLevel="0" collapsed="false">
      <c r="A110" s="0" t="s">
        <v>102</v>
      </c>
      <c r="B110" s="0" t="s">
        <v>227</v>
      </c>
      <c r="C110" s="0" t="n">
        <v>5</v>
      </c>
      <c r="D110" s="0" t="n">
        <f aca="false">MIN(39, MAX(MIN(5, C110), ROUNDUP(C110*0.6, 0)))</f>
        <v>5</v>
      </c>
      <c r="E110" s="0" t="s">
        <v>228</v>
      </c>
    </row>
    <row r="111" customFormat="false" ht="12.8" hidden="false" customHeight="false" outlineLevel="0" collapsed="false">
      <c r="A111" s="0" t="s">
        <v>102</v>
      </c>
      <c r="B111" s="0" t="s">
        <v>229</v>
      </c>
      <c r="C111" s="0" t="n">
        <v>5</v>
      </c>
      <c r="D111" s="0" t="n">
        <f aca="false">MIN(39, MAX(MIN(5, C111), ROUNDUP(C111*0.6, 0)))</f>
        <v>5</v>
      </c>
      <c r="E111" s="0" t="s">
        <v>230</v>
      </c>
    </row>
    <row r="112" customFormat="false" ht="12.8" hidden="false" customHeight="false" outlineLevel="0" collapsed="false">
      <c r="A112" s="0" t="s">
        <v>102</v>
      </c>
      <c r="B112" s="0" t="s">
        <v>231</v>
      </c>
      <c r="C112" s="0" t="n">
        <v>4</v>
      </c>
      <c r="D112" s="0" t="n">
        <f aca="false">MIN(39, MAX(MIN(5, C112), ROUNDUP(C112*0.6, 0)))</f>
        <v>4</v>
      </c>
      <c r="E112" s="0" t="s">
        <v>232</v>
      </c>
    </row>
    <row r="113" customFormat="false" ht="12.8" hidden="false" customHeight="false" outlineLevel="0" collapsed="false">
      <c r="A113" s="0" t="s">
        <v>102</v>
      </c>
      <c r="B113" s="0" t="s">
        <v>233</v>
      </c>
      <c r="C113" s="0" t="n">
        <v>3</v>
      </c>
      <c r="D113" s="0" t="n">
        <f aca="false">MIN(39, MAX(MIN(5, C113), ROUNDUP(C113*0.6, 0)))</f>
        <v>3</v>
      </c>
      <c r="E113" s="0" t="s">
        <v>234</v>
      </c>
    </row>
    <row r="114" customFormat="false" ht="12.8" hidden="false" customHeight="false" outlineLevel="0" collapsed="false">
      <c r="A114" s="0" t="s">
        <v>102</v>
      </c>
      <c r="B114" s="0" t="s">
        <v>235</v>
      </c>
      <c r="C114" s="0" t="n">
        <v>1</v>
      </c>
      <c r="D114" s="0" t="n">
        <f aca="false">MIN(39, MAX(MIN(5, C114), ROUNDUP(C114*0.6, 0)))</f>
        <v>1</v>
      </c>
      <c r="E114" s="0" t="s">
        <v>236</v>
      </c>
    </row>
    <row r="115" customFormat="false" ht="12.8" hidden="false" customHeight="false" outlineLevel="0" collapsed="false">
      <c r="A115" s="0" t="s">
        <v>237</v>
      </c>
      <c r="B115" s="0" t="s">
        <v>238</v>
      </c>
      <c r="C115" s="0" t="n">
        <v>39</v>
      </c>
      <c r="D115" s="0" t="n">
        <f aca="false">MIN(39, MAX(MIN(5, C115), ROUNDUP(C115*0.6, 0)))</f>
        <v>24</v>
      </c>
      <c r="E115" s="0" t="s">
        <v>239</v>
      </c>
    </row>
    <row r="116" customFormat="false" ht="12.8" hidden="false" customHeight="false" outlineLevel="0" collapsed="false">
      <c r="A116" s="0" t="s">
        <v>237</v>
      </c>
      <c r="B116" s="0" t="s">
        <v>240</v>
      </c>
      <c r="C116" s="0" t="n">
        <v>39</v>
      </c>
      <c r="D116" s="0" t="n">
        <f aca="false">MIN(39, MAX(MIN(5, C116), ROUNDUP(C116*0.6, 0)))</f>
        <v>24</v>
      </c>
      <c r="E116" s="0" t="s">
        <v>241</v>
      </c>
    </row>
    <row r="117" customFormat="false" ht="12.8" hidden="false" customHeight="false" outlineLevel="0" collapsed="false">
      <c r="A117" s="0" t="s">
        <v>237</v>
      </c>
      <c r="B117" s="0" t="s">
        <v>242</v>
      </c>
      <c r="C117" s="0" t="n">
        <v>35</v>
      </c>
      <c r="D117" s="0" t="n">
        <f aca="false">MIN(39, MAX(MIN(5, C117), ROUNDUP(C117*0.6, 0)))</f>
        <v>21</v>
      </c>
      <c r="E117" s="0" t="s">
        <v>243</v>
      </c>
    </row>
    <row r="118" customFormat="false" ht="12.8" hidden="false" customHeight="false" outlineLevel="0" collapsed="false">
      <c r="A118" s="0" t="s">
        <v>237</v>
      </c>
      <c r="B118" s="0" t="s">
        <v>244</v>
      </c>
      <c r="C118" s="0" t="n">
        <v>28</v>
      </c>
      <c r="D118" s="0" t="n">
        <f aca="false">MIN(39, MAX(MIN(5, C118), ROUNDUP(C118*0.6, 0)))</f>
        <v>17</v>
      </c>
      <c r="E118" s="0" t="s">
        <v>245</v>
      </c>
    </row>
    <row r="119" customFormat="false" ht="12.8" hidden="false" customHeight="false" outlineLevel="0" collapsed="false">
      <c r="A119" s="0" t="s">
        <v>237</v>
      </c>
      <c r="B119" s="0" t="s">
        <v>246</v>
      </c>
      <c r="C119" s="0" t="n">
        <v>23</v>
      </c>
      <c r="D119" s="0" t="n">
        <f aca="false">MIN(39, MAX(MIN(5, C119), ROUNDUP(C119*0.6, 0)))</f>
        <v>14</v>
      </c>
      <c r="E119" s="0" t="s">
        <v>247</v>
      </c>
    </row>
    <row r="120" customFormat="false" ht="12.8" hidden="false" customHeight="false" outlineLevel="0" collapsed="false">
      <c r="A120" s="0" t="s">
        <v>237</v>
      </c>
      <c r="B120" s="0" t="s">
        <v>248</v>
      </c>
      <c r="C120" s="0" t="n">
        <v>22</v>
      </c>
      <c r="D120" s="0" t="n">
        <f aca="false">MIN(39, MAX(MIN(5, C120), ROUNDUP(C120*0.6, 0)))</f>
        <v>14</v>
      </c>
      <c r="E120" s="0" t="s">
        <v>249</v>
      </c>
    </row>
    <row r="121" customFormat="false" ht="12.8" hidden="false" customHeight="false" outlineLevel="0" collapsed="false">
      <c r="A121" s="0" t="s">
        <v>237</v>
      </c>
      <c r="B121" s="0" t="s">
        <v>250</v>
      </c>
      <c r="C121" s="0" t="n">
        <v>21</v>
      </c>
      <c r="D121" s="0" t="n">
        <f aca="false">MIN(39, MAX(MIN(5, C121), ROUNDUP(C121*0.6, 0)))</f>
        <v>13</v>
      </c>
      <c r="E121" s="0" t="s">
        <v>251</v>
      </c>
    </row>
    <row r="122" customFormat="false" ht="12.8" hidden="false" customHeight="false" outlineLevel="0" collapsed="false">
      <c r="A122" s="0" t="s">
        <v>237</v>
      </c>
      <c r="B122" s="0" t="s">
        <v>252</v>
      </c>
      <c r="C122" s="0" t="n">
        <v>14</v>
      </c>
      <c r="D122" s="0" t="n">
        <f aca="false">MIN(39, MAX(MIN(5, C122), ROUNDUP(C122*0.6, 0)))</f>
        <v>9</v>
      </c>
      <c r="E122" s="0" t="s">
        <v>253</v>
      </c>
    </row>
    <row r="123" customFormat="false" ht="12.8" hidden="false" customHeight="false" outlineLevel="0" collapsed="false">
      <c r="A123" s="0" t="s">
        <v>237</v>
      </c>
      <c r="B123" s="0" t="s">
        <v>254</v>
      </c>
      <c r="C123" s="0" t="n">
        <v>13</v>
      </c>
      <c r="D123" s="0" t="n">
        <f aca="false">MIN(39, MAX(MIN(5, C123), ROUNDUP(C123*0.6, 0)))</f>
        <v>8</v>
      </c>
      <c r="E123" s="0" t="s">
        <v>255</v>
      </c>
    </row>
    <row r="124" customFormat="false" ht="12.8" hidden="false" customHeight="false" outlineLevel="0" collapsed="false">
      <c r="A124" s="0" t="s">
        <v>237</v>
      </c>
      <c r="B124" s="0" t="s">
        <v>256</v>
      </c>
      <c r="C124" s="0" t="n">
        <v>10</v>
      </c>
      <c r="D124" s="0" t="n">
        <f aca="false">MIN(39, MAX(MIN(5, C124), ROUNDUP(C124*0.6, 0)))</f>
        <v>6</v>
      </c>
      <c r="E124" s="0" t="s">
        <v>257</v>
      </c>
    </row>
    <row r="125" customFormat="false" ht="12.8" hidden="false" customHeight="false" outlineLevel="0" collapsed="false">
      <c r="A125" s="0" t="s">
        <v>237</v>
      </c>
      <c r="B125" s="0" t="s">
        <v>258</v>
      </c>
      <c r="C125" s="0" t="n">
        <v>4</v>
      </c>
      <c r="D125" s="0" t="n">
        <f aca="false">MIN(39, MAX(MIN(5, C125), ROUNDUP(C125*0.6, 0)))</f>
        <v>4</v>
      </c>
      <c r="E125" s="0" t="s">
        <v>259</v>
      </c>
    </row>
    <row r="126" customFormat="false" ht="12.8" hidden="false" customHeight="false" outlineLevel="0" collapsed="false">
      <c r="A126" s="0" t="s">
        <v>260</v>
      </c>
      <c r="B126" s="0" t="s">
        <v>261</v>
      </c>
      <c r="C126" s="0" t="n">
        <v>39</v>
      </c>
      <c r="D126" s="0" t="n">
        <f aca="false">MIN(39, MAX(MIN(5, C126), ROUNDUP(C126*0.6, 0)))</f>
        <v>24</v>
      </c>
      <c r="E126" s="0" t="s">
        <v>262</v>
      </c>
    </row>
    <row r="127" customFormat="false" ht="12.8" hidden="false" customHeight="false" outlineLevel="0" collapsed="false">
      <c r="A127" s="0" t="s">
        <v>260</v>
      </c>
      <c r="B127" s="0" t="s">
        <v>263</v>
      </c>
      <c r="C127" s="0" t="n">
        <v>39</v>
      </c>
      <c r="D127" s="0" t="n">
        <f aca="false">MIN(39, MAX(MIN(5, C127), ROUNDUP(C127*0.6, 0)))</f>
        <v>24</v>
      </c>
      <c r="E127" s="0" t="s">
        <v>264</v>
      </c>
    </row>
    <row r="128" customFormat="false" ht="12.8" hidden="false" customHeight="false" outlineLevel="0" collapsed="false">
      <c r="A128" s="0" t="s">
        <v>260</v>
      </c>
      <c r="B128" s="0" t="s">
        <v>265</v>
      </c>
      <c r="C128" s="0" t="n">
        <v>39</v>
      </c>
      <c r="D128" s="0" t="n">
        <f aca="false">MIN(39, MAX(MIN(5, C128), ROUNDUP(C128*0.6, 0)))</f>
        <v>24</v>
      </c>
      <c r="E128" s="0" t="s">
        <v>266</v>
      </c>
    </row>
    <row r="129" customFormat="false" ht="12.8" hidden="false" customHeight="false" outlineLevel="0" collapsed="false">
      <c r="A129" s="0" t="s">
        <v>260</v>
      </c>
      <c r="B129" s="0" t="s">
        <v>267</v>
      </c>
      <c r="C129" s="0" t="n">
        <v>39</v>
      </c>
      <c r="D129" s="0" t="n">
        <f aca="false">MIN(39, MAX(MIN(5, C129), ROUNDUP(C129*0.6, 0)))</f>
        <v>24</v>
      </c>
      <c r="E129" s="0" t="s">
        <v>268</v>
      </c>
    </row>
    <row r="130" customFormat="false" ht="12.8" hidden="false" customHeight="false" outlineLevel="0" collapsed="false">
      <c r="A130" s="0" t="s">
        <v>260</v>
      </c>
      <c r="B130" s="0" t="s">
        <v>269</v>
      </c>
      <c r="C130" s="0" t="n">
        <v>37</v>
      </c>
      <c r="D130" s="0" t="n">
        <f aca="false">MIN(39, MAX(MIN(5, C130), ROUNDUP(C130*0.6, 0)))</f>
        <v>23</v>
      </c>
      <c r="E130" s="0" t="s">
        <v>270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2025-11-28T09:56:02Z</dcterms:modified>
  <cp:revision>2</cp:revision>
  <dc:subject/>
  <dc:title/>
</cp:coreProperties>
</file>